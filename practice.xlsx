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study\"/>
    </mc:Choice>
  </mc:AlternateContent>
  <bookViews>
    <workbookView xWindow="0" yWindow="0" windowWidth="19200" windowHeight="6930" firstSheet="12" activeTab="20"/>
  </bookViews>
  <sheets>
    <sheet name="Sheet1" sheetId="1" r:id="rId1"/>
    <sheet name="salect put data" sheetId="19" r:id="rId2"/>
    <sheet name="Sheet2" sheetId="21" r:id="rId3"/>
    <sheet name="Sheet3" sheetId="3" r:id="rId4"/>
    <sheet name="runing tool" sheetId="2" r:id="rId5"/>
    <sheet name="refrence" sheetId="4" r:id="rId6"/>
    <sheet name="rc test" sheetId="5" r:id="rId7"/>
    <sheet name="Andloop" sheetId="6" r:id="rId8"/>
    <sheet name="lock" sheetId="7" r:id="rId9"/>
    <sheet name="And" sheetId="9" r:id="rId10"/>
    <sheet name="Average" sheetId="8" r:id="rId11"/>
    <sheet name="CONCAT" sheetId="10" r:id="rId12"/>
    <sheet name="count" sheetId="11" r:id="rId13"/>
    <sheet name="If" sheetId="12" r:id="rId14"/>
    <sheet name="table" sheetId="13" r:id="rId15"/>
    <sheet name="Table 1" sheetId="14" r:id="rId16"/>
    <sheet name="top bottom" sheetId="15" r:id="rId17"/>
    <sheet name="dara bar" sheetId="16" r:id="rId18"/>
    <sheet name="ifs" sheetId="17" r:id="rId19"/>
    <sheet name="left function" sheetId="18" r:id="rId20"/>
    <sheet name="Poke Mart Shop Cart" sheetId="20" r:id="rId21"/>
  </sheets>
  <externalReferences>
    <externalReference r:id="rId22"/>
  </externalReferences>
  <definedNames>
    <definedName name="_xlnm._FilterDatabase" localSheetId="13" hidden="1">If!$B$4:$B$13</definedName>
    <definedName name="_xlnm._FilterDatabase" localSheetId="14" hidden="1">table!$K$1:$P$14</definedName>
    <definedName name="_xlchart.v1.0" hidden="1">'dara bar'!$T$7:$V$7</definedName>
    <definedName name="_xlchart.v1.1" hidden="1">'dara bar'!$W$1:$W$6</definedName>
    <definedName name="_xlchart.v1.2" hidden="1">'dara bar'!$W$7</definedName>
    <definedName name="_xlchart.v1.3" hidden="1">'dara bar'!$T$7:$V$7</definedName>
    <definedName name="_xlchart.v1.4" hidden="1">'dara bar'!$W$1:$W$6</definedName>
    <definedName name="_xlchart.v1.5" hidden="1">'dara bar'!$W$7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20" l="1"/>
  <c r="B12" i="20"/>
  <c r="C3" i="20"/>
  <c r="B11" i="20" s="1"/>
  <c r="C4" i="20"/>
  <c r="C5" i="20"/>
  <c r="C6" i="20"/>
  <c r="C7" i="20"/>
  <c r="C8" i="20"/>
  <c r="C9" i="20"/>
  <c r="E2" i="18" l="1"/>
  <c r="H8" i="17"/>
  <c r="D3" i="17"/>
  <c r="D4" i="17"/>
  <c r="D5" i="17"/>
  <c r="D6" i="17"/>
  <c r="D7" i="17"/>
  <c r="D8" i="17"/>
  <c r="D9" i="17"/>
  <c r="D10" i="17"/>
  <c r="D2" i="17"/>
  <c r="E2" i="17"/>
  <c r="E3" i="17"/>
  <c r="V8" i="16" l="1"/>
  <c r="U8" i="16"/>
  <c r="G34" i="15" l="1"/>
  <c r="J5" i="12" l="1"/>
  <c r="J6" i="12"/>
  <c r="J7" i="12"/>
  <c r="J8" i="12"/>
  <c r="J9" i="12"/>
  <c r="J10" i="12"/>
  <c r="J11" i="12"/>
  <c r="J12" i="12"/>
  <c r="J4" i="12"/>
  <c r="E5" i="12" l="1"/>
  <c r="E6" i="12"/>
  <c r="E7" i="12"/>
  <c r="E8" i="12"/>
  <c r="E9" i="12"/>
  <c r="E10" i="12"/>
  <c r="E11" i="12"/>
  <c r="E12" i="12"/>
  <c r="E4" i="12"/>
  <c r="D12" i="12"/>
  <c r="D8" i="12"/>
  <c r="D9" i="12"/>
  <c r="D10" i="12"/>
  <c r="D11" i="12"/>
  <c r="D4" i="12"/>
  <c r="D5" i="12"/>
  <c r="D6" i="12"/>
  <c r="D7" i="12"/>
  <c r="P8" i="11" l="1"/>
  <c r="P7" i="11"/>
  <c r="P6" i="11"/>
  <c r="H7" i="11"/>
  <c r="H6" i="11"/>
  <c r="H8" i="11"/>
  <c r="H9" i="11"/>
  <c r="H10" i="11"/>
  <c r="D27" i="11"/>
  <c r="C29" i="11"/>
  <c r="A29" i="11"/>
  <c r="B27" i="11"/>
  <c r="A27" i="11"/>
  <c r="B28" i="11"/>
  <c r="D26" i="11"/>
  <c r="B1" i="11"/>
  <c r="C30" i="11"/>
  <c r="H14" i="11" l="1"/>
  <c r="H12" i="11"/>
  <c r="H16" i="11"/>
  <c r="H17" i="11"/>
  <c r="H11" i="11"/>
  <c r="H13" i="11"/>
  <c r="H15" i="11"/>
  <c r="A1" i="11"/>
  <c r="D25" i="11"/>
  <c r="A25" i="11"/>
  <c r="E8" i="10"/>
  <c r="E4" i="10"/>
  <c r="E5" i="10"/>
  <c r="H23" i="8" l="1"/>
  <c r="H24" i="8"/>
  <c r="H25" i="8"/>
  <c r="H22" i="8"/>
  <c r="G10" i="9" l="1"/>
  <c r="G9" i="9"/>
  <c r="G8" i="9"/>
  <c r="G7" i="9"/>
  <c r="G6" i="9"/>
  <c r="G5" i="9"/>
  <c r="G2" i="9"/>
  <c r="G3" i="9"/>
  <c r="G4" i="9"/>
  <c r="F3" i="9"/>
  <c r="F4" i="9"/>
  <c r="F5" i="9"/>
  <c r="F6" i="9"/>
  <c r="F7" i="9"/>
  <c r="F8" i="9"/>
  <c r="F9" i="9"/>
  <c r="F10" i="9"/>
  <c r="F2" i="9"/>
  <c r="E3" i="9"/>
  <c r="E4" i="9"/>
  <c r="E5" i="9"/>
  <c r="E6" i="9"/>
  <c r="E7" i="9"/>
  <c r="E8" i="9"/>
  <c r="E9" i="9"/>
  <c r="E10" i="9"/>
  <c r="E2" i="9"/>
  <c r="D17" i="8" l="1"/>
  <c r="C14" i="8"/>
  <c r="B11" i="8"/>
  <c r="C12" i="7"/>
  <c r="H2" i="7"/>
  <c r="E8" i="7"/>
  <c r="D3" i="6"/>
  <c r="D4" i="6"/>
  <c r="D5" i="6"/>
  <c r="D6" i="6"/>
  <c r="D7" i="6"/>
  <c r="D8" i="6"/>
  <c r="D9" i="6"/>
  <c r="D10" i="6"/>
  <c r="D2" i="6"/>
  <c r="E17" i="8"/>
  <c r="E14" i="8"/>
  <c r="I3" i="5" l="1"/>
  <c r="I4" i="5"/>
  <c r="I5" i="5"/>
  <c r="I6" i="5"/>
  <c r="I7" i="5"/>
  <c r="I8" i="5"/>
  <c r="I9" i="5"/>
  <c r="I2" i="5"/>
  <c r="J3" i="5"/>
  <c r="J4" i="5"/>
  <c r="J5" i="5"/>
  <c r="J8" i="5"/>
  <c r="J2" i="5"/>
  <c r="J9" i="5"/>
  <c r="J7" i="5"/>
  <c r="J6" i="5"/>
  <c r="F3" i="5" l="1"/>
  <c r="F4" i="5"/>
  <c r="F5" i="5"/>
  <c r="F6" i="5"/>
  <c r="F7" i="5"/>
  <c r="F8" i="5"/>
  <c r="F9" i="5"/>
  <c r="F2" i="5"/>
  <c r="E2" i="5"/>
  <c r="D9" i="5"/>
  <c r="B9" i="5"/>
  <c r="C9" i="5"/>
  <c r="C3" i="5"/>
  <c r="C4" i="5"/>
  <c r="C5" i="5"/>
  <c r="C6" i="5"/>
  <c r="C7" i="5"/>
  <c r="C8" i="5"/>
  <c r="C2" i="5"/>
  <c r="AG3" i="4" l="1"/>
  <c r="AG4" i="4"/>
  <c r="AG5" i="4"/>
  <c r="AG6" i="4"/>
  <c r="AG7" i="4"/>
  <c r="AG8" i="4"/>
  <c r="AG9" i="4"/>
  <c r="AG10" i="4"/>
  <c r="AG11" i="4"/>
  <c r="AG2" i="4"/>
  <c r="AC3" i="4"/>
  <c r="AC4" i="4"/>
  <c r="AC5" i="4"/>
  <c r="AC6" i="4"/>
  <c r="AC7" i="4"/>
  <c r="AC8" i="4"/>
  <c r="AC9" i="4"/>
  <c r="AC10" i="4"/>
  <c r="AC11" i="4"/>
  <c r="AC2" i="4"/>
  <c r="X3" i="4"/>
  <c r="X4" i="4"/>
  <c r="X5" i="4"/>
  <c r="X6" i="4"/>
  <c r="X7" i="4"/>
  <c r="X8" i="4"/>
  <c r="X9" i="4"/>
  <c r="X10" i="4"/>
  <c r="X11" i="4"/>
  <c r="Y5" i="4"/>
  <c r="Y6" i="4"/>
  <c r="Y7" i="4"/>
  <c r="Y8" i="4"/>
  <c r="Y9" i="4"/>
  <c r="Y10" i="4"/>
  <c r="Y11" i="4"/>
  <c r="Y3" i="4"/>
  <c r="Y4" i="4"/>
  <c r="Y2" i="4"/>
  <c r="X2" i="4"/>
  <c r="T11" i="4"/>
  <c r="T2" i="4"/>
  <c r="T3" i="4"/>
  <c r="T4" i="4"/>
  <c r="T5" i="4"/>
  <c r="T6" i="4"/>
  <c r="T7" i="4"/>
  <c r="T8" i="4"/>
  <c r="T9" i="4"/>
  <c r="T10" i="4"/>
  <c r="E3" i="4"/>
  <c r="P8" i="4"/>
  <c r="P7" i="4"/>
  <c r="P6" i="4"/>
  <c r="P5" i="4"/>
  <c r="P4" i="4"/>
  <c r="P3" i="4"/>
  <c r="D3" i="4"/>
  <c r="H9" i="2"/>
  <c r="H10" i="2"/>
  <c r="H11" i="2"/>
  <c r="H12" i="2"/>
  <c r="H13" i="2"/>
  <c r="H7" i="2"/>
  <c r="H8" i="2"/>
  <c r="H6" i="2"/>
  <c r="H5" i="2"/>
  <c r="G5" i="2"/>
  <c r="F3" i="4" l="1"/>
  <c r="H40" i="1"/>
  <c r="F42" i="1"/>
  <c r="F31" i="1"/>
  <c r="F41" i="1"/>
  <c r="H3" i="2"/>
  <c r="H3" i="4" l="1"/>
  <c r="G3" i="4"/>
  <c r="G42" i="1"/>
  <c r="I33" i="1"/>
  <c r="I32" i="1"/>
  <c r="I31" i="1"/>
  <c r="I3" i="4" l="1"/>
  <c r="G39" i="1"/>
  <c r="G40" i="1"/>
  <c r="F32" i="1"/>
  <c r="F33" i="1"/>
  <c r="F34" i="1"/>
  <c r="F35" i="1"/>
  <c r="F36" i="1"/>
  <c r="F37" i="1"/>
  <c r="F38" i="1"/>
  <c r="F39" i="1"/>
  <c r="F30" i="1"/>
  <c r="F13" i="1"/>
  <c r="M25" i="1"/>
  <c r="H23" i="1"/>
  <c r="H22" i="1"/>
  <c r="H21" i="1"/>
  <c r="M24" i="1" l="1"/>
  <c r="M16" i="1"/>
  <c r="M17" i="1"/>
  <c r="M15" i="1"/>
  <c r="M13" i="1" l="1"/>
  <c r="M14" i="1"/>
  <c r="D23" i="1"/>
  <c r="J13" i="1"/>
  <c r="K20" i="1"/>
  <c r="D9" i="2"/>
  <c r="D8" i="2"/>
  <c r="D5" i="2"/>
  <c r="D6" i="2"/>
  <c r="D7" i="2"/>
  <c r="D4" i="2"/>
  <c r="D10" i="2"/>
  <c r="D3" i="2"/>
  <c r="D2" i="2"/>
</calcChain>
</file>

<file path=xl/comments1.xml><?xml version="1.0" encoding="utf-8"?>
<comments xmlns="http://schemas.openxmlformats.org/spreadsheetml/2006/main">
  <authors>
    <author>Dell</author>
  </authors>
  <commentList>
    <comment ref="G8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use data validation </t>
        </r>
      </text>
    </comment>
  </commentList>
</comments>
</file>

<file path=xl/sharedStrings.xml><?xml version="1.0" encoding="utf-8"?>
<sst xmlns="http://schemas.openxmlformats.org/spreadsheetml/2006/main" count="1277" uniqueCount="374">
  <si>
    <t>Product Name</t>
  </si>
  <si>
    <t>Region</t>
  </si>
  <si>
    <t>Jan</t>
  </si>
  <si>
    <t>Feb</t>
  </si>
  <si>
    <t>Mar</t>
  </si>
  <si>
    <t>Sum</t>
  </si>
  <si>
    <t>Tablet</t>
  </si>
  <si>
    <t>East</t>
  </si>
  <si>
    <t>Speaker</t>
  </si>
  <si>
    <t>West</t>
  </si>
  <si>
    <t>Webcam</t>
  </si>
  <si>
    <t>North</t>
  </si>
  <si>
    <t>Average</t>
  </si>
  <si>
    <t>Amount</t>
  </si>
  <si>
    <t>Amoumt</t>
  </si>
  <si>
    <t>speaker</t>
  </si>
  <si>
    <t>tablet</t>
  </si>
  <si>
    <t>1+1</t>
  </si>
  <si>
    <t>west</t>
  </si>
  <si>
    <t>east</t>
  </si>
  <si>
    <t>Qty</t>
  </si>
  <si>
    <t>Price</t>
  </si>
  <si>
    <t>Kurta</t>
  </si>
  <si>
    <t>Jeans</t>
  </si>
  <si>
    <t>Sweater</t>
  </si>
  <si>
    <t>South</t>
  </si>
  <si>
    <t>Coat</t>
  </si>
  <si>
    <t>Total amount</t>
  </si>
  <si>
    <t>Date</t>
  </si>
  <si>
    <t>Running Total</t>
  </si>
  <si>
    <t>Samosa</t>
  </si>
  <si>
    <t>Chips</t>
  </si>
  <si>
    <t>Popcorn</t>
  </si>
  <si>
    <t>Nachos</t>
  </si>
  <si>
    <t>Running tool</t>
  </si>
  <si>
    <t>Trainers</t>
  </si>
  <si>
    <t>Pokeballs</t>
  </si>
  <si>
    <t>Great balls</t>
  </si>
  <si>
    <t>Iva</t>
  </si>
  <si>
    <t>Liam</t>
  </si>
  <si>
    <t>Pablo</t>
  </si>
  <si>
    <t>Jenny</t>
  </si>
  <si>
    <t>Iben</t>
  </si>
  <si>
    <t>Kasper</t>
  </si>
  <si>
    <t>Cost</t>
  </si>
  <si>
    <t>Absolute refrence</t>
  </si>
  <si>
    <t>relative refrence</t>
  </si>
  <si>
    <t>substraction absolute</t>
  </si>
  <si>
    <t>sum use absolute</t>
  </si>
  <si>
    <t>multiple absolute</t>
  </si>
  <si>
    <t>division absolute</t>
  </si>
  <si>
    <t>Name</t>
  </si>
  <si>
    <t>abhi</t>
  </si>
  <si>
    <t>babi</t>
  </si>
  <si>
    <t>cabi</t>
  </si>
  <si>
    <t>ebbi</t>
  </si>
  <si>
    <t>dabbi</t>
  </si>
  <si>
    <t>febbi</t>
  </si>
  <si>
    <t>gebbi</t>
  </si>
  <si>
    <t>money</t>
  </si>
  <si>
    <t>seving</t>
  </si>
  <si>
    <t>expenditure</t>
  </si>
  <si>
    <t>sev 30 inc</t>
  </si>
  <si>
    <t>ex</t>
  </si>
  <si>
    <t>increge</t>
  </si>
  <si>
    <t>&gt;2000+3000 ,&lt;=5000</t>
  </si>
  <si>
    <t xml:space="preserve">    Name</t>
  </si>
  <si>
    <t>Type 1</t>
  </si>
  <si>
    <t>Speed</t>
  </si>
  <si>
    <t>Fire Type AND more than 70 Speed</t>
  </si>
  <si>
    <t xml:space="preserve">      Bulbasaur</t>
  </si>
  <si>
    <t>Grass</t>
  </si>
  <si>
    <t xml:space="preserve">      Ivysaur</t>
  </si>
  <si>
    <t xml:space="preserve">      Venusaur</t>
  </si>
  <si>
    <t xml:space="preserve">      Charmander</t>
  </si>
  <si>
    <t>Fire</t>
  </si>
  <si>
    <t xml:space="preserve">      Charmeleon</t>
  </si>
  <si>
    <t xml:space="preserve">      Charizard</t>
  </si>
  <si>
    <t xml:space="preserve">      Squirtle</t>
  </si>
  <si>
    <t>Water</t>
  </si>
  <si>
    <t xml:space="preserve">      Wartortle</t>
  </si>
  <si>
    <t xml:space="preserve">      Blastoise</t>
  </si>
  <si>
    <t xml:space="preserve">    </t>
  </si>
  <si>
    <t>Headphones</t>
  </si>
  <si>
    <t>Projector</t>
  </si>
  <si>
    <t>Tripod</t>
  </si>
  <si>
    <t>Notebook</t>
  </si>
  <si>
    <t>Pencil Box</t>
  </si>
  <si>
    <t>School Bag</t>
  </si>
  <si>
    <t xml:space="preserve">product </t>
  </si>
  <si>
    <t>amount</t>
  </si>
  <si>
    <t>averageif</t>
  </si>
  <si>
    <t>averageifs</t>
  </si>
  <si>
    <t>show</t>
  </si>
  <si>
    <t>average</t>
  </si>
  <si>
    <t>use And function</t>
  </si>
  <si>
    <t>use If function</t>
  </si>
  <si>
    <t xml:space="preserve">other </t>
  </si>
  <si>
    <t>EAST</t>
  </si>
  <si>
    <t>pencil box</t>
  </si>
  <si>
    <t>Defense</t>
  </si>
  <si>
    <t>Generation</t>
  </si>
  <si>
    <t xml:space="preserve">    Bulbasaur</t>
  </si>
  <si>
    <t>Type</t>
  </si>
  <si>
    <t>Gen.</t>
  </si>
  <si>
    <t>Average Defense</t>
  </si>
  <si>
    <t xml:space="preserve">    Ivysaur</t>
  </si>
  <si>
    <t xml:space="preserve">    Venusaur</t>
  </si>
  <si>
    <t xml:space="preserve">    Charmander</t>
  </si>
  <si>
    <t xml:space="preserve">    Charmeleon</t>
  </si>
  <si>
    <t xml:space="preserve">    Charizard</t>
  </si>
  <si>
    <t xml:space="preserve">    Chikorita</t>
  </si>
  <si>
    <t xml:space="preserve">    Bayleef</t>
  </si>
  <si>
    <t xml:space="preserve">    Meganium</t>
  </si>
  <si>
    <t xml:space="preserve">    Cyndaquil</t>
  </si>
  <si>
    <t xml:space="preserve">    Quilava</t>
  </si>
  <si>
    <t xml:space="preserve">    Typhlosion</t>
  </si>
  <si>
    <t>Total stats</t>
  </si>
  <si>
    <t xml:space="preserve">    Mankey</t>
  </si>
  <si>
    <t>Fighting</t>
  </si>
  <si>
    <t xml:space="preserve">    Poliwrath</t>
  </si>
  <si>
    <t xml:space="preserve">    Victreebel</t>
  </si>
  <si>
    <t xml:space="preserve">    Tentacool</t>
  </si>
  <si>
    <t xml:space="preserve">    Magneton</t>
  </si>
  <si>
    <t>Electric</t>
  </si>
  <si>
    <t xml:space="preserve">    Dewgong</t>
  </si>
  <si>
    <t xml:space="preserve">    Cloyster</t>
  </si>
  <si>
    <t xml:space="preserve">    Onix</t>
  </si>
  <si>
    <t>Rock</t>
  </si>
  <si>
    <t xml:space="preserve">    Dragonair</t>
  </si>
  <si>
    <t>Dragon</t>
  </si>
  <si>
    <t xml:space="preserve">    Pidgeotto</t>
  </si>
  <si>
    <t>Normal</t>
  </si>
  <si>
    <t xml:space="preserve">    Rattata</t>
  </si>
  <si>
    <t xml:space="preserve">    Beedrill</t>
  </si>
  <si>
    <t>Bug</t>
  </si>
  <si>
    <t xml:space="preserve">    Doduo</t>
  </si>
  <si>
    <t xml:space="preserve">    Kingler</t>
  </si>
  <si>
    <t xml:space="preserve">    Nidoqueen</t>
  </si>
  <si>
    <t>Poison</t>
  </si>
  <si>
    <t xml:space="preserve">    Hitmonchan</t>
  </si>
  <si>
    <t xml:space="preserve">    Arbok</t>
  </si>
  <si>
    <t xml:space="preserve">    Gastly</t>
  </si>
  <si>
    <t>Ghost</t>
  </si>
  <si>
    <t xml:space="preserve">    Magikarp</t>
  </si>
  <si>
    <t>CONCAT FUNCTION USE</t>
  </si>
  <si>
    <t>Type 2</t>
  </si>
  <si>
    <t>Steel</t>
  </si>
  <si>
    <t>Ice</t>
  </si>
  <si>
    <t>Ground</t>
  </si>
  <si>
    <t>Flying</t>
  </si>
  <si>
    <t>*=count(count only number)</t>
  </si>
  <si>
    <t>*=counta(count number and objects)</t>
  </si>
  <si>
    <t>*=countblanck(count only blanks)</t>
  </si>
  <si>
    <t>countif*</t>
  </si>
  <si>
    <t>countifs</t>
  </si>
  <si>
    <t xml:space="preserve">$ lock row &amp; colum f4 shortcut </t>
  </si>
  <si>
    <t>water</t>
  </si>
  <si>
    <t>grass</t>
  </si>
  <si>
    <t>ghost</t>
  </si>
  <si>
    <t>rock</t>
  </si>
  <si>
    <t>type</t>
  </si>
  <si>
    <t>genration</t>
  </si>
  <si>
    <t>count</t>
  </si>
  <si>
    <t>if</t>
  </si>
  <si>
    <t xml:space="preserve">  Name</t>
  </si>
  <si>
    <t>Total</t>
  </si>
  <si>
    <t>Grass Type</t>
  </si>
  <si>
    <t xml:space="preserve">  Bulbasaur</t>
  </si>
  <si>
    <t xml:space="preserve">  Ivysaur</t>
  </si>
  <si>
    <t xml:space="preserve">  Venusaur</t>
  </si>
  <si>
    <t xml:space="preserve">  Charmander</t>
  </si>
  <si>
    <t xml:space="preserve">  Charmeleon</t>
  </si>
  <si>
    <t xml:space="preserve">  Charizard</t>
  </si>
  <si>
    <t xml:space="preserve">  Squirtle</t>
  </si>
  <si>
    <t xml:space="preserve">  Wartortle</t>
  </si>
  <si>
    <t xml:space="preserve">  Blastoise</t>
  </si>
  <si>
    <t xml:space="preserve">  </t>
  </si>
  <si>
    <t>comparision</t>
  </si>
  <si>
    <t>ifs</t>
  </si>
  <si>
    <t>Speed Category</t>
  </si>
  <si>
    <t xml:space="preserve">    Squirtle</t>
  </si>
  <si>
    <t xml:space="preserve">    Wartortle</t>
  </si>
  <si>
    <t xml:space="preserve">    Blastoise</t>
  </si>
  <si>
    <t>HP</t>
  </si>
  <si>
    <t>Attack</t>
  </si>
  <si>
    <t xml:space="preserve">    Abra</t>
  </si>
  <si>
    <t>Psychic</t>
  </si>
  <si>
    <t xml:space="preserve">    Kadabra</t>
  </si>
  <si>
    <t xml:space="preserve">    Alakazam</t>
  </si>
  <si>
    <t xml:space="preserve">    Machop</t>
  </si>
  <si>
    <t xml:space="preserve">    Machoke</t>
  </si>
  <si>
    <t xml:space="preserve">    Machamp</t>
  </si>
  <si>
    <t xml:space="preserve">    Bellsprout</t>
  </si>
  <si>
    <t xml:space="preserve">    Weepinbell</t>
  </si>
  <si>
    <t xml:space="preserve">    Tentacruel</t>
  </si>
  <si>
    <t xml:space="preserve">    Geodude</t>
  </si>
  <si>
    <t xml:space="preserve">    Graveler</t>
  </si>
  <si>
    <t xml:space="preserve">    Golem</t>
  </si>
  <si>
    <t xml:space="preserve">    Ponyta</t>
  </si>
  <si>
    <t xml:space="preserve">    Rapidash</t>
  </si>
  <si>
    <t xml:space="preserve">    Slowpoke</t>
  </si>
  <si>
    <t xml:space="preserve">    SlowbroMega Slowbro</t>
  </si>
  <si>
    <t xml:space="preserve">    Magnemite</t>
  </si>
  <si>
    <t xml:space="preserve">    Farfetch'd</t>
  </si>
  <si>
    <t>mighty</t>
  </si>
  <si>
    <t>Mew</t>
  </si>
  <si>
    <t>Two</t>
  </si>
  <si>
    <t xml:space="preserve">        Name</t>
  </si>
  <si>
    <t xml:space="preserve">        Bulbasaur</t>
  </si>
  <si>
    <t xml:space="preserve">        Ivysaur</t>
  </si>
  <si>
    <t xml:space="preserve">        Venusaur</t>
  </si>
  <si>
    <t xml:space="preserve">        Charmander</t>
  </si>
  <si>
    <t xml:space="preserve">        Charmeleon</t>
  </si>
  <si>
    <t xml:space="preserve">        Charizard</t>
  </si>
  <si>
    <t xml:space="preserve">        Squirtle</t>
  </si>
  <si>
    <t xml:space="preserve">        Wartortle</t>
  </si>
  <si>
    <t>conditional farmate</t>
  </si>
  <si>
    <t>Highlight Cell Rules</t>
  </si>
  <si>
    <t>Sp. Atk</t>
  </si>
  <si>
    <t>Sp. Def</t>
  </si>
  <si>
    <t xml:space="preserve">        Magikarp</t>
  </si>
  <si>
    <t xml:space="preserve">        Gyarados</t>
  </si>
  <si>
    <t xml:space="preserve">        Lapras</t>
  </si>
  <si>
    <t xml:space="preserve">        Ditto</t>
  </si>
  <si>
    <t xml:space="preserve">        Eevee</t>
  </si>
  <si>
    <t xml:space="preserve">        Vaporeon</t>
  </si>
  <si>
    <t xml:space="preserve">        Jolteon</t>
  </si>
  <si>
    <t xml:space="preserve">equal to </t>
  </si>
  <si>
    <t>greater than</t>
  </si>
  <si>
    <t>**</t>
  </si>
  <si>
    <t>text contains</t>
  </si>
  <si>
    <t xml:space="preserve">      Name</t>
  </si>
  <si>
    <t xml:space="preserve">      Pidgey</t>
  </si>
  <si>
    <t xml:space="preserve">      Pidgeotto</t>
  </si>
  <si>
    <t xml:space="preserve">      Pidgeot</t>
  </si>
  <si>
    <t xml:space="preserve">      Rattata</t>
  </si>
  <si>
    <t xml:space="preserve">      Raticate</t>
  </si>
  <si>
    <t xml:space="preserve">      Spearow</t>
  </si>
  <si>
    <t xml:space="preserve">      Fearow</t>
  </si>
  <si>
    <t>A Date Occurring</t>
  </si>
  <si>
    <t>Birthday</t>
  </si>
  <si>
    <t>Year</t>
  </si>
  <si>
    <t xml:space="preserve">      Chikorita</t>
  </si>
  <si>
    <t xml:space="preserve">      Cyndaquil</t>
  </si>
  <si>
    <t xml:space="preserve">      Totodile</t>
  </si>
  <si>
    <t xml:space="preserve">      Treecko</t>
  </si>
  <si>
    <t xml:space="preserve">      Torchic</t>
  </si>
  <si>
    <t xml:space="preserve">      Mudkip</t>
  </si>
  <si>
    <t xml:space="preserve">      Turtwig</t>
  </si>
  <si>
    <t xml:space="preserve">      Chimchar</t>
  </si>
  <si>
    <t xml:space="preserve">      Piplup</t>
  </si>
  <si>
    <t xml:space="preserve">      Snivy</t>
  </si>
  <si>
    <t xml:space="preserve">      Tepig</t>
  </si>
  <si>
    <t xml:space="preserve">      Oshawott</t>
  </si>
  <si>
    <t xml:space="preserve">      Chespin</t>
  </si>
  <si>
    <t xml:space="preserve">      Fennekin</t>
  </si>
  <si>
    <t xml:space="preserve">      Froakie</t>
  </si>
  <si>
    <t>Excel HCR - Duplicate and Unique Value</t>
  </si>
  <si>
    <t xml:space="preserve">      Ditto</t>
  </si>
  <si>
    <t xml:space="preserve">      Mew</t>
  </si>
  <si>
    <t>Excel Top/Bottom Rules</t>
  </si>
  <si>
    <t xml:space="preserve">        Blastoise</t>
  </si>
  <si>
    <t xml:space="preserve">        Caterpie</t>
  </si>
  <si>
    <t xml:space="preserve">        Metapod</t>
  </si>
  <si>
    <t xml:space="preserve">        Butterfree</t>
  </si>
  <si>
    <t xml:space="preserve">        Weedle</t>
  </si>
  <si>
    <t xml:space="preserve">        Kakuna</t>
  </si>
  <si>
    <t xml:space="preserve">        Beedrill</t>
  </si>
  <si>
    <t xml:space="preserve">        Pidgey</t>
  </si>
  <si>
    <t xml:space="preserve">        Pidgeotto</t>
  </si>
  <si>
    <t xml:space="preserve">        Pidgeot</t>
  </si>
  <si>
    <t xml:space="preserve">        Rattata</t>
  </si>
  <si>
    <t xml:space="preserve">        Raticate</t>
  </si>
  <si>
    <t xml:space="preserve">        Spearow</t>
  </si>
  <si>
    <t xml:space="preserve">        Fearow</t>
  </si>
  <si>
    <t xml:space="preserve">        Ekans</t>
  </si>
  <si>
    <t xml:space="preserve">        Arbok</t>
  </si>
  <si>
    <t xml:space="preserve">        Pikachu</t>
  </si>
  <si>
    <t xml:space="preserve">        Raichu</t>
  </si>
  <si>
    <t xml:space="preserve">        Sandshrew</t>
  </si>
  <si>
    <t xml:space="preserve">        Sandslash</t>
  </si>
  <si>
    <t xml:space="preserve">        Nidoran♀</t>
  </si>
  <si>
    <t xml:space="preserve">        Nidorina</t>
  </si>
  <si>
    <t xml:space="preserve">      %</t>
  </si>
  <si>
    <t>Above and Below Average Rules</t>
  </si>
  <si>
    <t xml:space="preserve">        Nidoking</t>
  </si>
  <si>
    <t xml:space="preserve">        Clefairy</t>
  </si>
  <si>
    <t>Fairy</t>
  </si>
  <si>
    <t xml:space="preserve">        Clefable</t>
  </si>
  <si>
    <t xml:space="preserve">        Vulpix</t>
  </si>
  <si>
    <t xml:space="preserve">        Ninetales</t>
  </si>
  <si>
    <t xml:space="preserve">        Jigglypuff</t>
  </si>
  <si>
    <t xml:space="preserve">        Wigglytuff</t>
  </si>
  <si>
    <t xml:space="preserve">        Zubat</t>
  </si>
  <si>
    <t xml:space="preserve">        Golbat</t>
  </si>
  <si>
    <t xml:space="preserve">        Oddish</t>
  </si>
  <si>
    <t xml:space="preserve">        Average</t>
  </si>
  <si>
    <t xml:space="preserve">        Onix</t>
  </si>
  <si>
    <t xml:space="preserve">        Drowzee</t>
  </si>
  <si>
    <t xml:space="preserve">        Hypno</t>
  </si>
  <si>
    <t xml:space="preserve">        Krabby</t>
  </si>
  <si>
    <t xml:space="preserve">        Kingler</t>
  </si>
  <si>
    <t xml:space="preserve">        Voltorb</t>
  </si>
  <si>
    <t xml:space="preserve">        Electrode</t>
  </si>
  <si>
    <t xml:space="preserve">        Exeggcute</t>
  </si>
  <si>
    <t xml:space="preserve">        Exeggutor</t>
  </si>
  <si>
    <t>data bars</t>
  </si>
  <si>
    <t xml:space="preserve">        Geodude</t>
  </si>
  <si>
    <t xml:space="preserve">        Graveler</t>
  </si>
  <si>
    <t xml:space="preserve">        Golem</t>
  </si>
  <si>
    <t xml:space="preserve">        Ponyta</t>
  </si>
  <si>
    <t xml:space="preserve">        Rapidash</t>
  </si>
  <si>
    <t xml:space="preserve">        Slowpoke</t>
  </si>
  <si>
    <t xml:space="preserve">        Slowbro</t>
  </si>
  <si>
    <t>line chart</t>
  </si>
  <si>
    <t xml:space="preserve">    Gen</t>
  </si>
  <si>
    <t>Avg HP</t>
  </si>
  <si>
    <t>Avg Attack</t>
  </si>
  <si>
    <t>Avg Defense</t>
  </si>
  <si>
    <t xml:space="preserve">    Gen 1</t>
  </si>
  <si>
    <t>64,7</t>
  </si>
  <si>
    <t>73,9</t>
  </si>
  <si>
    <t>69,6</t>
  </si>
  <si>
    <t xml:space="preserve">    Gen 2</t>
  </si>
  <si>
    <t>70,6</t>
  </si>
  <si>
    <t>68,3</t>
  </si>
  <si>
    <t>69,5</t>
  </si>
  <si>
    <t xml:space="preserve">    Gen 3</t>
  </si>
  <si>
    <t>65,6</t>
  </si>
  <si>
    <t>75,8</t>
  </si>
  <si>
    <t>70,5</t>
  </si>
  <si>
    <t xml:space="preserve">    Gen 4</t>
  </si>
  <si>
    <t>72,6</t>
  </si>
  <si>
    <t>80,5</t>
  </si>
  <si>
    <t>77,3</t>
  </si>
  <si>
    <t xml:space="preserve">    Gen 5</t>
  </si>
  <si>
    <t>71,6</t>
  </si>
  <si>
    <t>82,2</t>
  </si>
  <si>
    <t>72,0</t>
  </si>
  <si>
    <t xml:space="preserve">    Gen 6</t>
  </si>
  <si>
    <t>68,5</t>
  </si>
  <si>
    <t>74,8</t>
  </si>
  <si>
    <t>76,3</t>
  </si>
  <si>
    <t>reader chart</t>
  </si>
  <si>
    <t>product</t>
  </si>
  <si>
    <t>tameto</t>
  </si>
  <si>
    <t>pateto</t>
  </si>
  <si>
    <t>ladisfinger</t>
  </si>
  <si>
    <t>chiken</t>
  </si>
  <si>
    <t>matan</t>
  </si>
  <si>
    <t>gote</t>
  </si>
  <si>
    <t>vage</t>
  </si>
  <si>
    <t>fout</t>
  </si>
  <si>
    <t>meet</t>
  </si>
  <si>
    <t>Excel Case: Poke Mart Shop Cart</t>
  </si>
  <si>
    <t>Item</t>
  </si>
  <si>
    <t>Item price</t>
  </si>
  <si>
    <t>Pokeball</t>
  </si>
  <si>
    <t>Great ball</t>
  </si>
  <si>
    <t>Ultra ball</t>
  </si>
  <si>
    <t>Potion</t>
  </si>
  <si>
    <t>Super potion</t>
  </si>
  <si>
    <t>Hyper potion</t>
  </si>
  <si>
    <t>Antidote</t>
  </si>
  <si>
    <t>Subtotal</t>
  </si>
  <si>
    <t>Discount</t>
  </si>
  <si>
    <r>
      <t>Prices for items (</t>
    </r>
    <r>
      <rPr>
        <sz val="8"/>
        <color rgb="FFDC143C"/>
        <rFont val="Consolas"/>
        <family val="3"/>
      </rPr>
      <t>C2:C8</t>
    </r>
    <r>
      <rPr>
        <sz val="8"/>
        <color rgb="FF000000"/>
        <rFont val="Segoe UI"/>
        <family val="2"/>
      </rPr>
      <t>)</t>
    </r>
  </si>
  <si>
    <r>
      <t>Sub total (</t>
    </r>
    <r>
      <rPr>
        <sz val="8"/>
        <color rgb="FFDC143C"/>
        <rFont val="Consolas"/>
        <family val="3"/>
      </rPr>
      <t>B10</t>
    </r>
    <r>
      <rPr>
        <sz val="8"/>
        <color rgb="FF000000"/>
        <rFont val="Segoe UI"/>
        <family val="2"/>
      </rPr>
      <t>)</t>
    </r>
  </si>
  <si>
    <r>
      <t>Add discount (</t>
    </r>
    <r>
      <rPr>
        <sz val="8"/>
        <color rgb="FFDC143C"/>
        <rFont val="Consolas"/>
        <family val="3"/>
      </rPr>
      <t>B11</t>
    </r>
    <r>
      <rPr>
        <sz val="8"/>
        <color rgb="FF000000"/>
        <rFont val="Segoe UI"/>
        <family val="2"/>
      </rPr>
      <t>)</t>
    </r>
  </si>
  <si>
    <r>
      <t>Total price (</t>
    </r>
    <r>
      <rPr>
        <sz val="8"/>
        <color rgb="FFDC143C"/>
        <rFont val="Consolas"/>
        <family val="3"/>
      </rPr>
      <t>B13</t>
    </r>
    <r>
      <rPr>
        <sz val="8"/>
        <color rgb="FF000000"/>
        <rFont val="Segoe UI"/>
        <family val="2"/>
      </rPr>
      <t>)</t>
    </r>
  </si>
  <si>
    <t>Column2</t>
  </si>
  <si>
    <t>Shop cart2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</si>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</sst>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\ #,##0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Algerian"/>
      <family val="5"/>
    </font>
    <font>
      <sz val="8"/>
      <color rgb="FFDDDDDD"/>
      <name val="Verdana"/>
      <family val="2"/>
    </font>
    <font>
      <sz val="11"/>
      <color theme="5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6"/>
      <color rgb="FFFF0000"/>
      <name val="Segoe UI"/>
      <family val="2"/>
    </font>
    <font>
      <sz val="21"/>
      <color theme="1"/>
      <name val="Segoe UI"/>
      <family val="2"/>
    </font>
    <font>
      <sz val="21"/>
      <color theme="9" tint="-0.249977111117893"/>
      <name val="Segoe UI"/>
      <family val="2"/>
    </font>
    <font>
      <sz val="16"/>
      <color theme="9" tint="-0.249977111117893"/>
      <name val="Segoe UI"/>
      <family val="2"/>
    </font>
    <font>
      <sz val="11"/>
      <color theme="4" tint="-0.49998474074526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21"/>
      <color rgb="FF000000"/>
      <name val="Segoe UI"/>
      <family val="2"/>
    </font>
    <font>
      <sz val="8"/>
      <color rgb="FF000000"/>
      <name val="Segoe UI"/>
      <family val="2"/>
    </font>
    <font>
      <sz val="8"/>
      <color rgb="FFDC143C"/>
      <name val="Consolas"/>
      <family val="3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9"/>
        <bgColor indexed="64"/>
      </patternFill>
    </fill>
  </fills>
  <borders count="5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/>
      <top/>
      <bottom style="thin">
        <color theme="9"/>
      </bottom>
      <diagonal/>
    </border>
    <border>
      <left/>
      <right/>
      <top style="thin">
        <color theme="9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0" fontId="11" fillId="14" borderId="0" applyNumberFormat="0" applyBorder="0" applyAlignment="0" applyProtection="0"/>
  </cellStyleXfs>
  <cellXfs count="128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0" fillId="0" borderId="2" xfId="0" applyBorder="1"/>
    <xf numFmtId="0" fontId="2" fillId="0" borderId="2" xfId="0" applyFont="1" applyBorder="1"/>
    <xf numFmtId="0" fontId="2" fillId="2" borderId="4" xfId="0" applyFont="1" applyFill="1" applyBorder="1"/>
    <xf numFmtId="0" fontId="0" fillId="0" borderId="3" xfId="0" applyBorder="1"/>
    <xf numFmtId="0" fontId="0" fillId="0" borderId="0" xfId="0" applyBorder="1"/>
    <xf numFmtId="0" fontId="2" fillId="2" borderId="5" xfId="0" applyFont="1" applyFill="1" applyBorder="1"/>
    <xf numFmtId="0" fontId="1" fillId="2" borderId="7" xfId="0" applyFont="1" applyFill="1" applyBorder="1"/>
    <xf numFmtId="0" fontId="1" fillId="2" borderId="6" xfId="0" applyFont="1" applyFill="1" applyBorder="1"/>
    <xf numFmtId="0" fontId="0" fillId="0" borderId="8" xfId="0" applyBorder="1"/>
    <xf numFmtId="0" fontId="0" fillId="0" borderId="9" xfId="0" applyBorder="1"/>
    <xf numFmtId="0" fontId="0" fillId="0" borderId="4" xfId="0" applyBorder="1"/>
    <xf numFmtId="0" fontId="0" fillId="0" borderId="10" xfId="0" applyBorder="1"/>
    <xf numFmtId="0" fontId="0" fillId="0" borderId="5" xfId="0" applyBorder="1"/>
    <xf numFmtId="0" fontId="0" fillId="0" borderId="11" xfId="0" applyBorder="1"/>
    <xf numFmtId="164" fontId="0" fillId="0" borderId="9" xfId="0" applyNumberFormat="1" applyBorder="1"/>
    <xf numFmtId="0" fontId="0" fillId="0" borderId="12" xfId="0" applyBorder="1"/>
    <xf numFmtId="164" fontId="0" fillId="0" borderId="4" xfId="0" applyNumberFormat="1" applyBorder="1"/>
    <xf numFmtId="164" fontId="0" fillId="0" borderId="0" xfId="0" applyNumberFormat="1"/>
    <xf numFmtId="164" fontId="0" fillId="0" borderId="4" xfId="0" applyNumberFormat="1" applyFill="1" applyBorder="1"/>
    <xf numFmtId="0" fontId="1" fillId="2" borderId="4" xfId="0" applyFont="1" applyFill="1" applyBorder="1"/>
    <xf numFmtId="0" fontId="2" fillId="2" borderId="5" xfId="0" applyFont="1" applyFill="1" applyBorder="1" applyAlignment="1">
      <alignment horizontal="left"/>
    </xf>
    <xf numFmtId="14" fontId="0" fillId="0" borderId="13" xfId="0" applyNumberFormat="1" applyBorder="1" applyAlignment="1">
      <alignment horizontal="left"/>
    </xf>
    <xf numFmtId="0" fontId="0" fillId="0" borderId="1" xfId="0" quotePrefix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2" fillId="2" borderId="22" xfId="0" applyFont="1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2" fillId="2" borderId="29" xfId="0" applyFont="1" applyFill="1" applyBorder="1"/>
    <xf numFmtId="0" fontId="2" fillId="2" borderId="9" xfId="0" applyFont="1" applyFill="1" applyBorder="1"/>
    <xf numFmtId="0" fontId="0" fillId="0" borderId="29" xfId="0" applyBorder="1"/>
    <xf numFmtId="0" fontId="0" fillId="0" borderId="24" xfId="0" applyFill="1" applyBorder="1"/>
    <xf numFmtId="0" fontId="2" fillId="2" borderId="24" xfId="0" applyFont="1" applyFill="1" applyBorder="1"/>
    <xf numFmtId="0" fontId="2" fillId="2" borderId="0" xfId="0" applyFont="1" applyFill="1" applyBorder="1"/>
    <xf numFmtId="0" fontId="3" fillId="0" borderId="0" xfId="0" applyFont="1"/>
    <xf numFmtId="0" fontId="4" fillId="4" borderId="4" xfId="0" applyFont="1" applyFill="1" applyBorder="1"/>
    <xf numFmtId="0" fontId="4" fillId="4" borderId="29" xfId="0" applyFont="1" applyFill="1" applyBorder="1"/>
    <xf numFmtId="0" fontId="2" fillId="2" borderId="4" xfId="0" applyFont="1" applyFill="1" applyBorder="1" applyAlignment="1">
      <alignment horizontal="left"/>
    </xf>
    <xf numFmtId="14" fontId="0" fillId="0" borderId="4" xfId="0" applyNumberFormat="1" applyBorder="1" applyAlignment="1">
      <alignment horizontal="left"/>
    </xf>
    <xf numFmtId="14" fontId="0" fillId="0" borderId="5" xfId="0" applyNumberFormat="1" applyBorder="1" applyAlignment="1">
      <alignment horizontal="left"/>
    </xf>
    <xf numFmtId="0" fontId="0" fillId="0" borderId="30" xfId="0" applyBorder="1"/>
    <xf numFmtId="0" fontId="3" fillId="0" borderId="1" xfId="0" applyFont="1" applyBorder="1"/>
    <xf numFmtId="0" fontId="0" fillId="5" borderId="0" xfId="0" applyFill="1"/>
    <xf numFmtId="0" fontId="5" fillId="2" borderId="0" xfId="0" applyFont="1" applyFill="1"/>
    <xf numFmtId="0" fontId="4" fillId="2" borderId="0" xfId="0" applyFont="1" applyFill="1"/>
    <xf numFmtId="0" fontId="0" fillId="6" borderId="0" xfId="0" applyFill="1" applyAlignment="1">
      <alignment horizontal="left"/>
    </xf>
    <xf numFmtId="0" fontId="6" fillId="0" borderId="0" xfId="0" applyFont="1" applyAlignment="1">
      <alignment horizontal="left" vertical="center" wrapText="1" indent="1"/>
    </xf>
    <xf numFmtId="0" fontId="1" fillId="8" borderId="0" xfId="0" applyFont="1" applyFill="1"/>
    <xf numFmtId="0" fontId="0" fillId="9" borderId="4" xfId="0" applyFill="1" applyBorder="1"/>
    <xf numFmtId="0" fontId="0" fillId="7" borderId="0" xfId="0" applyFont="1" applyFill="1"/>
    <xf numFmtId="0" fontId="7" fillId="10" borderId="0" xfId="0" applyFont="1" applyFill="1"/>
    <xf numFmtId="0" fontId="8" fillId="0" borderId="0" xfId="0" applyFont="1"/>
    <xf numFmtId="0" fontId="1" fillId="2" borderId="27" xfId="0" applyFont="1" applyFill="1" applyBorder="1"/>
    <xf numFmtId="0" fontId="10" fillId="11" borderId="0" xfId="0" applyFont="1" applyFill="1"/>
    <xf numFmtId="0" fontId="0" fillId="13" borderId="31" xfId="0" applyFont="1" applyFill="1" applyBorder="1"/>
    <xf numFmtId="0" fontId="0" fillId="13" borderId="32" xfId="0" applyFont="1" applyFill="1" applyBorder="1"/>
    <xf numFmtId="0" fontId="0" fillId="13" borderId="33" xfId="0" applyFont="1" applyFill="1" applyBorder="1"/>
    <xf numFmtId="0" fontId="0" fillId="0" borderId="31" xfId="0" applyFont="1" applyBorder="1"/>
    <xf numFmtId="0" fontId="0" fillId="0" borderId="32" xfId="0" applyFont="1" applyBorder="1"/>
    <xf numFmtId="0" fontId="0" fillId="0" borderId="33" xfId="0" applyFont="1" applyBorder="1"/>
    <xf numFmtId="0" fontId="9" fillId="12" borderId="34" xfId="0" applyFont="1" applyFill="1" applyBorder="1"/>
    <xf numFmtId="0" fontId="9" fillId="12" borderId="35" xfId="0" applyFont="1" applyFill="1" applyBorder="1"/>
    <xf numFmtId="0" fontId="9" fillId="12" borderId="36" xfId="0" applyFont="1" applyFill="1" applyBorder="1"/>
    <xf numFmtId="0" fontId="0" fillId="13" borderId="34" xfId="0" applyFont="1" applyFill="1" applyBorder="1"/>
    <xf numFmtId="0" fontId="0" fillId="13" borderId="35" xfId="0" applyFont="1" applyFill="1" applyBorder="1"/>
    <xf numFmtId="0" fontId="0" fillId="13" borderId="36" xfId="0" applyFont="1" applyFill="1" applyBorder="1"/>
    <xf numFmtId="0" fontId="0" fillId="0" borderId="34" xfId="0" applyFont="1" applyBorder="1"/>
    <xf numFmtId="0" fontId="0" fillId="0" borderId="35" xfId="0" applyFont="1" applyBorder="1"/>
    <xf numFmtId="0" fontId="0" fillId="0" borderId="36" xfId="0" applyFont="1" applyBorder="1"/>
    <xf numFmtId="0" fontId="0" fillId="0" borderId="0" xfId="0" applyAlignment="1">
      <alignment wrapText="1"/>
    </xf>
    <xf numFmtId="0" fontId="13" fillId="15" borderId="0" xfId="0" applyFont="1" applyFill="1"/>
    <xf numFmtId="0" fontId="13" fillId="0" borderId="0" xfId="0" applyFont="1"/>
    <xf numFmtId="0" fontId="13" fillId="0" borderId="38" xfId="0" applyFont="1" applyBorder="1"/>
    <xf numFmtId="0" fontId="12" fillId="0" borderId="39" xfId="0" applyFont="1" applyBorder="1"/>
    <xf numFmtId="0" fontId="13" fillId="15" borderId="39" xfId="0" applyFont="1" applyFill="1" applyBorder="1"/>
    <xf numFmtId="0" fontId="0" fillId="0" borderId="0" xfId="0" applyAlignment="1">
      <alignment horizontal="center"/>
    </xf>
    <xf numFmtId="0" fontId="0" fillId="0" borderId="0" xfId="0" applyAlignment="1"/>
    <xf numFmtId="0" fontId="9" fillId="16" borderId="41" xfId="0" applyFont="1" applyFill="1" applyBorder="1"/>
    <xf numFmtId="0" fontId="9" fillId="16" borderId="39" xfId="0" applyFont="1" applyFill="1" applyBorder="1"/>
    <xf numFmtId="0" fontId="9" fillId="16" borderId="42" xfId="0" applyFont="1" applyFill="1" applyBorder="1"/>
    <xf numFmtId="0" fontId="0" fillId="0" borderId="41" xfId="0" applyFont="1" applyBorder="1"/>
    <xf numFmtId="0" fontId="0" fillId="0" borderId="39" xfId="0" applyFont="1" applyBorder="1"/>
    <xf numFmtId="0" fontId="0" fillId="0" borderId="42" xfId="0" applyFont="1" applyBorder="1"/>
    <xf numFmtId="0" fontId="0" fillId="0" borderId="43" xfId="0" applyFont="1" applyBorder="1"/>
    <xf numFmtId="0" fontId="0" fillId="0" borderId="37" xfId="0" applyFont="1" applyBorder="1"/>
    <xf numFmtId="0" fontId="0" fillId="0" borderId="44" xfId="0" applyFont="1" applyBorder="1"/>
    <xf numFmtId="0" fontId="14" fillId="0" borderId="0" xfId="0" applyFont="1" applyAlignment="1">
      <alignment vertical="center"/>
    </xf>
    <xf numFmtId="0" fontId="1" fillId="17" borderId="45" xfId="1" applyFont="1" applyFill="1" applyBorder="1"/>
    <xf numFmtId="0" fontId="1" fillId="17" borderId="46" xfId="1" applyFont="1" applyFill="1" applyBorder="1"/>
    <xf numFmtId="0" fontId="1" fillId="17" borderId="47" xfId="1" applyFont="1" applyFill="1" applyBorder="1"/>
    <xf numFmtId="0" fontId="0" fillId="10" borderId="45" xfId="1" applyFont="1" applyFill="1" applyBorder="1"/>
    <xf numFmtId="0" fontId="0" fillId="10" borderId="46" xfId="1" applyFont="1" applyFill="1" applyBorder="1"/>
    <xf numFmtId="16" fontId="0" fillId="10" borderId="46" xfId="1" applyNumberFormat="1" applyFont="1" applyFill="1" applyBorder="1"/>
    <xf numFmtId="0" fontId="0" fillId="10" borderId="47" xfId="1" applyFont="1" applyFill="1" applyBorder="1"/>
    <xf numFmtId="0" fontId="0" fillId="10" borderId="48" xfId="1" applyFont="1" applyFill="1" applyBorder="1"/>
    <xf numFmtId="0" fontId="0" fillId="10" borderId="40" xfId="1" applyFont="1" applyFill="1" applyBorder="1"/>
    <xf numFmtId="0" fontId="0" fillId="10" borderId="49" xfId="1" applyFont="1" applyFill="1" applyBorder="1"/>
    <xf numFmtId="0" fontId="15" fillId="0" borderId="0" xfId="0" applyFont="1" applyAlignment="1">
      <alignment horizontal="left" vertical="center" indent="1"/>
    </xf>
    <xf numFmtId="0" fontId="0" fillId="9" borderId="0" xfId="0" applyFill="1"/>
    <xf numFmtId="0" fontId="16" fillId="0" borderId="0" xfId="0" applyFont="1" applyAlignment="1">
      <alignment horizontal="left" vertical="center" indent="1"/>
    </xf>
    <xf numFmtId="0" fontId="17" fillId="0" borderId="0" xfId="0" applyFont="1" applyAlignment="1">
      <alignment vertical="center"/>
    </xf>
    <xf numFmtId="0" fontId="1" fillId="2" borderId="0" xfId="0" applyFont="1" applyFill="1"/>
    <xf numFmtId="0" fontId="18" fillId="13" borderId="31" xfId="0" applyFont="1" applyFill="1" applyBorder="1"/>
    <xf numFmtId="0" fontId="18" fillId="13" borderId="32" xfId="0" applyFont="1" applyFill="1" applyBorder="1"/>
    <xf numFmtId="0" fontId="18" fillId="13" borderId="33" xfId="0" applyFont="1" applyFill="1" applyBorder="1"/>
    <xf numFmtId="0" fontId="18" fillId="2" borderId="0" xfId="0" applyFont="1" applyFill="1"/>
    <xf numFmtId="0" fontId="0" fillId="6" borderId="0" xfId="0" applyFont="1" applyFill="1"/>
    <xf numFmtId="0" fontId="0" fillId="0" borderId="3" xfId="0" applyFill="1" applyBorder="1"/>
    <xf numFmtId="0" fontId="3" fillId="3" borderId="15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21" fillId="0" borderId="0" xfId="0" applyFont="1" applyAlignment="1">
      <alignment horizontal="left" vertical="center" indent="1"/>
    </xf>
    <xf numFmtId="0" fontId="0" fillId="2" borderId="0" xfId="0" applyFill="1"/>
    <xf numFmtId="0" fontId="0" fillId="2" borderId="0" xfId="0" applyFill="1" applyBorder="1"/>
    <xf numFmtId="0" fontId="22" fillId="0" borderId="0" xfId="0" applyFont="1" applyAlignment="1">
      <alignment horizontal="left" vertical="center" indent="1"/>
    </xf>
  </cellXfs>
  <cellStyles count="2">
    <cellStyle name="20% - Accent6" xfId="1" builtinId="50"/>
    <cellStyle name="Normal" xfId="0" builtinId="0"/>
  </cellStyles>
  <dxfs count="36"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numFmt numFmtId="0" formatCode="General"/>
    </dxf>
    <dxf>
      <fill>
        <patternFill patternType="solid">
          <fgColor indexed="64"/>
          <bgColor rgb="FFFFFF00"/>
        </patternFill>
      </fill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'dara bar'!$I$3:$I$10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77-43A5-83BF-1A2F11DB1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7907551"/>
        <c:axId val="1357904639"/>
      </c:barChart>
      <c:catAx>
        <c:axId val="1357907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904639"/>
        <c:crosses val="autoZero"/>
        <c:auto val="1"/>
        <c:lblAlgn val="ctr"/>
        <c:lblOffset val="100"/>
        <c:noMultiLvlLbl val="0"/>
      </c:catAx>
      <c:valAx>
        <c:axId val="135790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907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'dara bar'!$A$17</c:f>
              <c:strCache>
                <c:ptCount val="1"/>
                <c:pt idx="0">
                  <c:v>    Bulbasaur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'dara bar'!$B$16:$G$16</c:f>
              <c:strCache>
                <c:ptCount val="6"/>
                <c:pt idx="0">
                  <c:v>HP</c:v>
                </c:pt>
                <c:pt idx="1">
                  <c:v>Attack</c:v>
                </c:pt>
                <c:pt idx="2">
                  <c:v>Defense</c:v>
                </c:pt>
                <c:pt idx="3">
                  <c:v>Sp. Atk</c:v>
                </c:pt>
                <c:pt idx="4">
                  <c:v>Sp. Def</c:v>
                </c:pt>
                <c:pt idx="5">
                  <c:v>Speed</c:v>
                </c:pt>
              </c:strCache>
            </c:strRef>
          </c:cat>
          <c:val>
            <c:numRef>
              <c:f>'dara bar'!$B$17:$G$17</c:f>
              <c:numCache>
                <c:formatCode>General</c:formatCode>
                <c:ptCount val="6"/>
                <c:pt idx="0">
                  <c:v>45</c:v>
                </c:pt>
                <c:pt idx="1">
                  <c:v>49</c:v>
                </c:pt>
                <c:pt idx="2">
                  <c:v>49</c:v>
                </c:pt>
                <c:pt idx="3">
                  <c:v>65</c:v>
                </c:pt>
                <c:pt idx="4">
                  <c:v>65</c:v>
                </c:pt>
                <c:pt idx="5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1C-4A69-BE97-94D6AC175B6C}"/>
            </c:ext>
          </c:extLst>
        </c:ser>
        <c:ser>
          <c:idx val="1"/>
          <c:order val="1"/>
          <c:tx>
            <c:strRef>
              <c:f>'dara bar'!$A$18</c:f>
              <c:strCache>
                <c:ptCount val="1"/>
                <c:pt idx="0">
                  <c:v>    Charmander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'dara bar'!$B$16:$G$16</c:f>
              <c:strCache>
                <c:ptCount val="6"/>
                <c:pt idx="0">
                  <c:v>HP</c:v>
                </c:pt>
                <c:pt idx="1">
                  <c:v>Attack</c:v>
                </c:pt>
                <c:pt idx="2">
                  <c:v>Defense</c:v>
                </c:pt>
                <c:pt idx="3">
                  <c:v>Sp. Atk</c:v>
                </c:pt>
                <c:pt idx="4">
                  <c:v>Sp. Def</c:v>
                </c:pt>
                <c:pt idx="5">
                  <c:v>Speed</c:v>
                </c:pt>
              </c:strCache>
            </c:strRef>
          </c:cat>
          <c:val>
            <c:numRef>
              <c:f>'dara bar'!$B$18:$G$18</c:f>
              <c:numCache>
                <c:formatCode>General</c:formatCode>
                <c:ptCount val="6"/>
                <c:pt idx="0">
                  <c:v>39</c:v>
                </c:pt>
                <c:pt idx="1">
                  <c:v>52</c:v>
                </c:pt>
                <c:pt idx="2">
                  <c:v>43</c:v>
                </c:pt>
                <c:pt idx="3">
                  <c:v>60</c:v>
                </c:pt>
                <c:pt idx="4">
                  <c:v>50</c:v>
                </c:pt>
                <c:pt idx="5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1C-4A69-BE97-94D6AC175B6C}"/>
            </c:ext>
          </c:extLst>
        </c:ser>
        <c:ser>
          <c:idx val="2"/>
          <c:order val="2"/>
          <c:tx>
            <c:strRef>
              <c:f>'dara bar'!$A$19</c:f>
              <c:strCache>
                <c:ptCount val="1"/>
                <c:pt idx="0">
                  <c:v>    Squirtle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'dara bar'!$B$16:$G$16</c:f>
              <c:strCache>
                <c:ptCount val="6"/>
                <c:pt idx="0">
                  <c:v>HP</c:v>
                </c:pt>
                <c:pt idx="1">
                  <c:v>Attack</c:v>
                </c:pt>
                <c:pt idx="2">
                  <c:v>Defense</c:v>
                </c:pt>
                <c:pt idx="3">
                  <c:v>Sp. Atk</c:v>
                </c:pt>
                <c:pt idx="4">
                  <c:v>Sp. Def</c:v>
                </c:pt>
                <c:pt idx="5">
                  <c:v>Speed</c:v>
                </c:pt>
              </c:strCache>
            </c:strRef>
          </c:cat>
          <c:val>
            <c:numRef>
              <c:f>'dara bar'!$B$19:$G$19</c:f>
              <c:numCache>
                <c:formatCode>General</c:formatCode>
                <c:ptCount val="6"/>
                <c:pt idx="0">
                  <c:v>44</c:v>
                </c:pt>
                <c:pt idx="1">
                  <c:v>48</c:v>
                </c:pt>
                <c:pt idx="2">
                  <c:v>65</c:v>
                </c:pt>
                <c:pt idx="3">
                  <c:v>50</c:v>
                </c:pt>
                <c:pt idx="4">
                  <c:v>64</c:v>
                </c:pt>
                <c:pt idx="5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1C-4A69-BE97-94D6AC175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0041247"/>
        <c:axId val="1352971855"/>
      </c:barChart>
      <c:catAx>
        <c:axId val="1280041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971855"/>
        <c:crosses val="autoZero"/>
        <c:auto val="1"/>
        <c:lblAlgn val="ctr"/>
        <c:lblOffset val="100"/>
        <c:noMultiLvlLbl val="0"/>
      </c:catAx>
      <c:valAx>
        <c:axId val="135297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041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46014091846861"/>
          <c:y val="0.18878048780487805"/>
          <c:w val="0.85664865327917417"/>
          <c:h val="0.42046421026639963"/>
        </c:manualLayout>
      </c:layout>
      <c:lineChart>
        <c:grouping val="standard"/>
        <c:varyColors val="0"/>
        <c:ser>
          <c:idx val="0"/>
          <c:order val="0"/>
          <c:spPr>
            <a:ln w="38100" cap="flat" cmpd="dbl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val>
            <c:numRef>
              <c:f>'dara bar'!$B$26:$G$26</c:f>
              <c:numCache>
                <c:formatCode>General</c:formatCode>
                <c:ptCount val="6"/>
                <c:pt idx="0">
                  <c:v>45</c:v>
                </c:pt>
                <c:pt idx="1">
                  <c:v>49</c:v>
                </c:pt>
                <c:pt idx="2">
                  <c:v>49</c:v>
                </c:pt>
                <c:pt idx="3">
                  <c:v>65</c:v>
                </c:pt>
                <c:pt idx="4">
                  <c:v>65</c:v>
                </c:pt>
                <c:pt idx="5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64-44A5-9754-F0AB692E1A8C}"/>
            </c:ext>
          </c:extLst>
        </c:ser>
        <c:ser>
          <c:idx val="1"/>
          <c:order val="1"/>
          <c:spPr>
            <a:ln w="38100" cap="flat" cmpd="dbl" algn="ctr">
              <a:solidFill>
                <a:schemeClr val="accent2"/>
              </a:solidFill>
              <a:miter lim="800000"/>
            </a:ln>
            <a:effectLst/>
          </c:spPr>
          <c:marker>
            <c:symbol val="none"/>
          </c:marker>
          <c:val>
            <c:numRef>
              <c:f>'dara bar'!$B$27:$G$27</c:f>
              <c:numCache>
                <c:formatCode>General</c:formatCode>
                <c:ptCount val="6"/>
                <c:pt idx="0">
                  <c:v>60</c:v>
                </c:pt>
                <c:pt idx="1">
                  <c:v>62</c:v>
                </c:pt>
                <c:pt idx="2">
                  <c:v>63</c:v>
                </c:pt>
                <c:pt idx="3">
                  <c:v>80</c:v>
                </c:pt>
                <c:pt idx="4">
                  <c:v>80</c:v>
                </c:pt>
                <c:pt idx="5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64-44A5-9754-F0AB692E1A8C}"/>
            </c:ext>
          </c:extLst>
        </c:ser>
        <c:ser>
          <c:idx val="2"/>
          <c:order val="2"/>
          <c:spPr>
            <a:ln w="38100" cap="flat" cmpd="dbl" algn="ctr">
              <a:solidFill>
                <a:schemeClr val="accent3"/>
              </a:solidFill>
              <a:miter lim="800000"/>
            </a:ln>
            <a:effectLst/>
          </c:spPr>
          <c:marker>
            <c:symbol val="none"/>
          </c:marker>
          <c:val>
            <c:numRef>
              <c:f>'dara bar'!$B$28:$G$28</c:f>
              <c:numCache>
                <c:formatCode>General</c:formatCode>
                <c:ptCount val="6"/>
                <c:pt idx="0">
                  <c:v>80</c:v>
                </c:pt>
                <c:pt idx="1">
                  <c:v>82</c:v>
                </c:pt>
                <c:pt idx="2">
                  <c:v>83</c:v>
                </c:pt>
                <c:pt idx="3">
                  <c:v>100</c:v>
                </c:pt>
                <c:pt idx="4">
                  <c:v>100</c:v>
                </c:pt>
                <c:pt idx="5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64-44A5-9754-F0AB692E1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3766511"/>
        <c:axId val="1353766927"/>
      </c:lineChart>
      <c:catAx>
        <c:axId val="1353766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766927"/>
        <c:crosses val="autoZero"/>
        <c:auto val="1"/>
        <c:lblAlgn val="ctr"/>
        <c:lblOffset val="100"/>
        <c:noMultiLvlLbl val="0"/>
      </c:catAx>
      <c:valAx>
        <c:axId val="135376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766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percent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'dara bar'!$B$26:$G$26</c:f>
              <c:numCache>
                <c:formatCode>General</c:formatCode>
                <c:ptCount val="6"/>
                <c:pt idx="0">
                  <c:v>45</c:v>
                </c:pt>
                <c:pt idx="1">
                  <c:v>49</c:v>
                </c:pt>
                <c:pt idx="2">
                  <c:v>49</c:v>
                </c:pt>
                <c:pt idx="3">
                  <c:v>65</c:v>
                </c:pt>
                <c:pt idx="4">
                  <c:v>65</c:v>
                </c:pt>
                <c:pt idx="5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BA-4384-BFBB-E0E80C8B302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'dara bar'!$B$27:$G$27</c:f>
              <c:numCache>
                <c:formatCode>General</c:formatCode>
                <c:ptCount val="6"/>
                <c:pt idx="0">
                  <c:v>60</c:v>
                </c:pt>
                <c:pt idx="1">
                  <c:v>62</c:v>
                </c:pt>
                <c:pt idx="2">
                  <c:v>63</c:v>
                </c:pt>
                <c:pt idx="3">
                  <c:v>80</c:v>
                </c:pt>
                <c:pt idx="4">
                  <c:v>80</c:v>
                </c:pt>
                <c:pt idx="5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BA-4384-BFBB-E0E80C8B3028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'dara bar'!$B$28:$G$28</c:f>
              <c:numCache>
                <c:formatCode>General</c:formatCode>
                <c:ptCount val="6"/>
                <c:pt idx="0">
                  <c:v>80</c:v>
                </c:pt>
                <c:pt idx="1">
                  <c:v>82</c:v>
                </c:pt>
                <c:pt idx="2">
                  <c:v>83</c:v>
                </c:pt>
                <c:pt idx="3">
                  <c:v>100</c:v>
                </c:pt>
                <c:pt idx="4">
                  <c:v>100</c:v>
                </c:pt>
                <c:pt idx="5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BA-4384-BFBB-E0E80C8B3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2244527"/>
        <c:axId val="1362234127"/>
      </c:lineChart>
      <c:catAx>
        <c:axId val="13622445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234127"/>
        <c:crosses val="autoZero"/>
        <c:auto val="1"/>
        <c:lblAlgn val="ctr"/>
        <c:lblOffset val="100"/>
        <c:noMultiLvlLbl val="0"/>
      </c:catAx>
      <c:valAx>
        <c:axId val="1362234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244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percentStacked"/>
        <c:varyColors val="0"/>
        <c:ser>
          <c:idx val="0"/>
          <c:order val="0"/>
          <c:tx>
            <c:strRef>
              <c:f>'dara bar'!$T$7:$V$7</c:f>
              <c:strCache>
                <c:ptCount val="3"/>
                <c:pt idx="0">
                  <c:v>    Gen 6</c:v>
                </c:pt>
                <c:pt idx="1">
                  <c:v>68,5</c:v>
                </c:pt>
                <c:pt idx="2">
                  <c:v>74,8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'dara bar'!$W$1:$W$6</c:f>
              <c:strCache>
                <c:ptCount val="6"/>
                <c:pt idx="0">
                  <c:v>Avg Defense</c:v>
                </c:pt>
                <c:pt idx="1">
                  <c:v>69,6</c:v>
                </c:pt>
                <c:pt idx="2">
                  <c:v>69,5</c:v>
                </c:pt>
                <c:pt idx="3">
                  <c:v>70,5</c:v>
                </c:pt>
                <c:pt idx="4">
                  <c:v>77,3</c:v>
                </c:pt>
                <c:pt idx="5">
                  <c:v>72,0</c:v>
                </c:pt>
              </c:strCache>
            </c:strRef>
          </c:cat>
          <c:val>
            <c:numRef>
              <c:f>'dara bar'!$W$7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07-4C36-B381-3E1B61B42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2236623"/>
        <c:axId val="1362242863"/>
      </c:lineChart>
      <c:catAx>
        <c:axId val="1362236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242863"/>
        <c:crosses val="autoZero"/>
        <c:auto val="1"/>
        <c:lblAlgn val="ctr"/>
        <c:lblOffset val="100"/>
        <c:noMultiLvlLbl val="0"/>
      </c:catAx>
      <c:valAx>
        <c:axId val="1362242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236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'dara bar'!$AA$3</c:f>
              <c:strCache>
                <c:ptCount val="1"/>
                <c:pt idx="0">
                  <c:v>    Bulbasaur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'dara bar'!$AB$2:$AG$2</c:f>
              <c:strCache>
                <c:ptCount val="6"/>
                <c:pt idx="0">
                  <c:v>HP</c:v>
                </c:pt>
                <c:pt idx="1">
                  <c:v>Attack</c:v>
                </c:pt>
                <c:pt idx="2">
                  <c:v>Defense</c:v>
                </c:pt>
                <c:pt idx="3">
                  <c:v>Sp. Atk</c:v>
                </c:pt>
                <c:pt idx="4">
                  <c:v>Sp. Def</c:v>
                </c:pt>
                <c:pt idx="5">
                  <c:v>Speed</c:v>
                </c:pt>
              </c:strCache>
            </c:strRef>
          </c:cat>
          <c:val>
            <c:numRef>
              <c:f>'dara bar'!$AB$3:$AG$3</c:f>
              <c:numCache>
                <c:formatCode>General</c:formatCode>
                <c:ptCount val="6"/>
                <c:pt idx="0">
                  <c:v>45</c:v>
                </c:pt>
                <c:pt idx="1">
                  <c:v>49</c:v>
                </c:pt>
                <c:pt idx="2">
                  <c:v>49</c:v>
                </c:pt>
                <c:pt idx="3">
                  <c:v>65</c:v>
                </c:pt>
                <c:pt idx="4">
                  <c:v>65</c:v>
                </c:pt>
                <c:pt idx="5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65-43C2-BFE4-4EC14DE074E4}"/>
            </c:ext>
          </c:extLst>
        </c:ser>
        <c:ser>
          <c:idx val="1"/>
          <c:order val="1"/>
          <c:tx>
            <c:strRef>
              <c:f>'dara bar'!$AA$4</c:f>
              <c:strCache>
                <c:ptCount val="1"/>
                <c:pt idx="0">
                  <c:v>    Charmander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'dara bar'!$AB$2:$AG$2</c:f>
              <c:strCache>
                <c:ptCount val="6"/>
                <c:pt idx="0">
                  <c:v>HP</c:v>
                </c:pt>
                <c:pt idx="1">
                  <c:v>Attack</c:v>
                </c:pt>
                <c:pt idx="2">
                  <c:v>Defense</c:v>
                </c:pt>
                <c:pt idx="3">
                  <c:v>Sp. Atk</c:v>
                </c:pt>
                <c:pt idx="4">
                  <c:v>Sp. Def</c:v>
                </c:pt>
                <c:pt idx="5">
                  <c:v>Speed</c:v>
                </c:pt>
              </c:strCache>
            </c:strRef>
          </c:cat>
          <c:val>
            <c:numRef>
              <c:f>'dara bar'!$AB$4:$AG$4</c:f>
              <c:numCache>
                <c:formatCode>General</c:formatCode>
                <c:ptCount val="6"/>
                <c:pt idx="0">
                  <c:v>39</c:v>
                </c:pt>
                <c:pt idx="1">
                  <c:v>52</c:v>
                </c:pt>
                <c:pt idx="2">
                  <c:v>43</c:v>
                </c:pt>
                <c:pt idx="3">
                  <c:v>60</c:v>
                </c:pt>
                <c:pt idx="4">
                  <c:v>50</c:v>
                </c:pt>
                <c:pt idx="5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65-43C2-BFE4-4EC14DE074E4}"/>
            </c:ext>
          </c:extLst>
        </c:ser>
        <c:ser>
          <c:idx val="2"/>
          <c:order val="2"/>
          <c:tx>
            <c:strRef>
              <c:f>'dara bar'!$AA$5</c:f>
              <c:strCache>
                <c:ptCount val="1"/>
                <c:pt idx="0">
                  <c:v>    Squirtle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'dara bar'!$AB$2:$AG$2</c:f>
              <c:strCache>
                <c:ptCount val="6"/>
                <c:pt idx="0">
                  <c:v>HP</c:v>
                </c:pt>
                <c:pt idx="1">
                  <c:v>Attack</c:v>
                </c:pt>
                <c:pt idx="2">
                  <c:v>Defense</c:v>
                </c:pt>
                <c:pt idx="3">
                  <c:v>Sp. Atk</c:v>
                </c:pt>
                <c:pt idx="4">
                  <c:v>Sp. Def</c:v>
                </c:pt>
                <c:pt idx="5">
                  <c:v>Speed</c:v>
                </c:pt>
              </c:strCache>
            </c:strRef>
          </c:cat>
          <c:val>
            <c:numRef>
              <c:f>'dara bar'!$AB$5:$AG$5</c:f>
              <c:numCache>
                <c:formatCode>General</c:formatCode>
                <c:ptCount val="6"/>
                <c:pt idx="0">
                  <c:v>44</c:v>
                </c:pt>
                <c:pt idx="1">
                  <c:v>48</c:v>
                </c:pt>
                <c:pt idx="2">
                  <c:v>65</c:v>
                </c:pt>
                <c:pt idx="3">
                  <c:v>50</c:v>
                </c:pt>
                <c:pt idx="4">
                  <c:v>64</c:v>
                </c:pt>
                <c:pt idx="5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65-43C2-BFE4-4EC14DE074E4}"/>
            </c:ext>
          </c:extLst>
        </c:ser>
        <c:ser>
          <c:idx val="3"/>
          <c:order val="3"/>
          <c:tx>
            <c:strRef>
              <c:f>'dara bar'!$AA$6</c:f>
              <c:strCache>
                <c:ptCount val="1"/>
                <c:pt idx="0">
                  <c:v> 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'dara bar'!$AB$2:$AG$2</c:f>
              <c:strCache>
                <c:ptCount val="6"/>
                <c:pt idx="0">
                  <c:v>HP</c:v>
                </c:pt>
                <c:pt idx="1">
                  <c:v>Attack</c:v>
                </c:pt>
                <c:pt idx="2">
                  <c:v>Defense</c:v>
                </c:pt>
                <c:pt idx="3">
                  <c:v>Sp. Atk</c:v>
                </c:pt>
                <c:pt idx="4">
                  <c:v>Sp. Def</c:v>
                </c:pt>
                <c:pt idx="5">
                  <c:v>Speed</c:v>
                </c:pt>
              </c:strCache>
            </c:strRef>
          </c:cat>
          <c:val>
            <c:numRef>
              <c:f>'dara bar'!$AB$6:$AG$6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3-3C65-43C2-BFE4-4EC14DE07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0697695"/>
        <c:axId val="1450684383"/>
      </c:radarChart>
      <c:catAx>
        <c:axId val="1450697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684383"/>
        <c:crosses val="autoZero"/>
        <c:auto val="1"/>
        <c:lblAlgn val="ctr"/>
        <c:lblOffset val="100"/>
        <c:noMultiLvlLbl val="0"/>
      </c:catAx>
      <c:valAx>
        <c:axId val="145068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697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217983919157084"/>
          <c:y val="0.2262564102564103"/>
          <c:w val="0.59711936584295844"/>
          <c:h val="0.220514435695538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114300">
        <a:schemeClr val="accent1"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479425</xdr:colOff>
      <xdr:row>0</xdr:row>
      <xdr:rowOff>53975</xdr:rowOff>
    </xdr:from>
    <xdr:to>
      <xdr:col>17</xdr:col>
      <xdr:colOff>174625</xdr:colOff>
      <xdr:row>15</xdr:row>
      <xdr:rowOff>34925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12700</xdr:colOff>
      <xdr:row>11</xdr:row>
      <xdr:rowOff>50800</xdr:rowOff>
    </xdr:from>
    <xdr:to>
      <xdr:col>12</xdr:col>
      <xdr:colOff>146050</xdr:colOff>
      <xdr:row>22</xdr:row>
      <xdr:rowOff>136524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158749</xdr:colOff>
      <xdr:row>11</xdr:row>
      <xdr:rowOff>146051</xdr:rowOff>
    </xdr:from>
    <xdr:to>
      <xdr:col>11</xdr:col>
      <xdr:colOff>3174</xdr:colOff>
      <xdr:row>21</xdr:row>
      <xdr:rowOff>127001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123825</xdr:colOff>
      <xdr:row>14</xdr:row>
      <xdr:rowOff>168275</xdr:rowOff>
    </xdr:from>
    <xdr:to>
      <xdr:col>12</xdr:col>
      <xdr:colOff>428625</xdr:colOff>
      <xdr:row>29</xdr:row>
      <xdr:rowOff>149225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568325</xdr:colOff>
      <xdr:row>9</xdr:row>
      <xdr:rowOff>38099</xdr:rowOff>
    </xdr:from>
    <xdr:to>
      <xdr:col>23</xdr:col>
      <xdr:colOff>266700</xdr:colOff>
      <xdr:row>17</xdr:row>
      <xdr:rowOff>117474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352425</xdr:colOff>
      <xdr:row>7</xdr:row>
      <xdr:rowOff>6349</xdr:rowOff>
    </xdr:from>
    <xdr:to>
      <xdr:col>33</xdr:col>
      <xdr:colOff>0</xdr:colOff>
      <xdr:row>17</xdr:row>
      <xdr:rowOff>22224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one%20drive/OneDrive/Desktop/ANIL_Excel%20skills%20workshop%20practise%20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71"/>
      <sheetName val="72"/>
      <sheetName val="73"/>
      <sheetName val="74"/>
      <sheetName val="Sheet1"/>
      <sheetName val="Sheet2"/>
      <sheetName val="Sheet3"/>
      <sheetName val="Sheet4"/>
      <sheetName val="75 PIVOT"/>
      <sheetName val="Main Data"/>
      <sheetName val="Emp. info"/>
      <sheetName val="Dashboard 1"/>
      <sheetName val="Extra"/>
      <sheetName val="Dashboard (2)"/>
      <sheetName val="Dashboard (3)"/>
      <sheetName val="0 (6)"/>
      <sheetName val="0 (7)"/>
      <sheetName val="0 (8)"/>
      <sheetName val="0 (9)"/>
      <sheetName val="Sheet12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Sheet21"/>
      <sheetName val="Sheet22"/>
      <sheetName val="Sheet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D4">
            <v>180</v>
          </cell>
        </row>
        <row r="5">
          <cell r="D5">
            <v>220</v>
          </cell>
        </row>
        <row r="6">
          <cell r="D6">
            <v>170</v>
          </cell>
        </row>
        <row r="7">
          <cell r="D7">
            <v>250</v>
          </cell>
        </row>
        <row r="8">
          <cell r="D8">
            <v>130</v>
          </cell>
        </row>
        <row r="9">
          <cell r="D9">
            <v>370</v>
          </cell>
        </row>
        <row r="10">
          <cell r="D10">
            <v>280</v>
          </cell>
        </row>
        <row r="11">
          <cell r="D11">
            <v>360</v>
          </cell>
        </row>
        <row r="12">
          <cell r="D12">
            <v>420</v>
          </cell>
        </row>
        <row r="13">
          <cell r="D13">
            <v>34343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</sheetDataSet>
  </externalBook>
</externalLink>
</file>

<file path=xl/tables/table1.xml><?xml version="1.0" encoding="utf-8"?>
<table xmlns="http://schemas.openxmlformats.org/spreadsheetml/2006/main" id="2" name="Table1" displayName="Table1" ref="A1:I22" headerRowDxfId="35">
  <autoFilter ref="A1:I22"/>
  <tableColumns count="9">
    <tableColumn id="1" name="    Name" totalsRowLabel="Total"/>
    <tableColumn id="2" name="Type 1"/>
    <tableColumn id="3" name="Type 2"/>
    <tableColumn id="4" name="HP"/>
    <tableColumn id="7" name="Attack"/>
    <tableColumn id="8" name="Defense"/>
    <tableColumn id="10" name="mighty"/>
    <tableColumn id="11" name="Mew"/>
    <tableColumn id="12" name="Tw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F5" totalsRowShown="0">
  <autoFilter ref="A1:F5"/>
  <tableColumns count="6">
    <tableColumn id="1" name="    Name"/>
    <tableColumn id="2" name="Type 1"/>
    <tableColumn id="3" name="Type 2"/>
    <tableColumn id="4" name="HP"/>
    <tableColumn id="5" name="Attack"/>
    <tableColumn id="6" name="Defens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A2:E14" totalsRowShown="0" headerRowDxfId="33" tableBorderDxfId="34">
  <tableColumns count="5">
    <tableColumn id="1" name="Item"/>
    <tableColumn id="2" name="Item price"/>
    <tableColumn id="4" name="price" dataDxfId="32">
      <calculatedColumnFormula>B3*D3</calculatedColumnFormula>
    </tableColumn>
    <tableColumn id="5" name="Shop cart2"/>
    <tableColumn id="6" name="Column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42"/>
  <sheetViews>
    <sheetView topLeftCell="B1" zoomScale="148" zoomScaleNormal="148" workbookViewId="0">
      <selection activeCell="B1" sqref="B1:G9"/>
    </sheetView>
  </sheetViews>
  <sheetFormatPr defaultRowHeight="14.5" x14ac:dyDescent="0.35"/>
  <cols>
    <col min="2" max="2" width="16.26953125" bestFit="1" customWidth="1"/>
    <col min="5" max="5" width="12" bestFit="1" customWidth="1"/>
    <col min="6" max="6" width="16.26953125" bestFit="1" customWidth="1"/>
    <col min="7" max="7" width="12.1796875" bestFit="1" customWidth="1"/>
    <col min="8" max="8" width="9.6328125" bestFit="1" customWidth="1"/>
    <col min="9" max="9" width="16.26953125" bestFit="1" customWidth="1"/>
    <col min="10" max="10" width="9.6328125" bestFit="1" customWidth="1"/>
    <col min="12" max="12" width="12.54296875" customWidth="1"/>
  </cols>
  <sheetData>
    <row r="1" spans="2:13" ht="18.5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I1" s="6" t="s">
        <v>0</v>
      </c>
      <c r="J1" s="6" t="s">
        <v>13</v>
      </c>
    </row>
    <row r="2" spans="2:13" ht="18.5" x14ac:dyDescent="0.45">
      <c r="B2" s="2" t="s">
        <v>8</v>
      </c>
      <c r="C2" s="2" t="s">
        <v>9</v>
      </c>
      <c r="D2" s="2">
        <v>27000</v>
      </c>
      <c r="E2" s="2">
        <v>10500</v>
      </c>
      <c r="F2" s="2">
        <v>8500</v>
      </c>
      <c r="G2" s="3"/>
    </row>
    <row r="3" spans="2:13" ht="18.5" x14ac:dyDescent="0.45">
      <c r="B3" s="2" t="s">
        <v>8</v>
      </c>
      <c r="C3" s="2" t="s">
        <v>9</v>
      </c>
      <c r="D3" s="2">
        <v>17500</v>
      </c>
      <c r="E3" s="2">
        <v>14200</v>
      </c>
      <c r="F3" s="2">
        <v>11200</v>
      </c>
      <c r="G3" s="3"/>
    </row>
    <row r="4" spans="2:13" ht="18.5" x14ac:dyDescent="0.45">
      <c r="B4" s="2" t="s">
        <v>8</v>
      </c>
      <c r="C4" s="2" t="s">
        <v>9</v>
      </c>
      <c r="D4" s="2">
        <v>8700</v>
      </c>
      <c r="E4" s="2">
        <v>9500</v>
      </c>
      <c r="F4" s="2">
        <v>7600</v>
      </c>
      <c r="G4" s="3"/>
    </row>
    <row r="5" spans="2:13" ht="18.5" x14ac:dyDescent="0.45">
      <c r="B5" s="2" t="s">
        <v>6</v>
      </c>
      <c r="C5" s="2" t="s">
        <v>7</v>
      </c>
      <c r="D5" s="2">
        <v>15000</v>
      </c>
      <c r="E5" s="2">
        <v>22000</v>
      </c>
      <c r="F5" s="2">
        <v>18000</v>
      </c>
      <c r="G5" s="3"/>
    </row>
    <row r="6" spans="2:13" ht="18.5" x14ac:dyDescent="0.45">
      <c r="B6" s="2" t="s">
        <v>6</v>
      </c>
      <c r="C6" s="2" t="s">
        <v>7</v>
      </c>
      <c r="D6" s="2">
        <v>33000</v>
      </c>
      <c r="E6" s="2">
        <v>29000</v>
      </c>
      <c r="F6" s="2">
        <v>21000</v>
      </c>
      <c r="G6" s="3"/>
    </row>
    <row r="7" spans="2:13" ht="18.5" x14ac:dyDescent="0.45">
      <c r="B7" s="2" t="s">
        <v>6</v>
      </c>
      <c r="C7" s="2" t="s">
        <v>7</v>
      </c>
      <c r="D7" s="2">
        <v>11000</v>
      </c>
      <c r="E7" s="2">
        <v>17000</v>
      </c>
      <c r="F7" s="2">
        <v>14000</v>
      </c>
      <c r="G7" s="3"/>
    </row>
    <row r="8" spans="2:13" ht="18.5" x14ac:dyDescent="0.45">
      <c r="B8" s="2" t="s">
        <v>10</v>
      </c>
      <c r="C8" s="2" t="s">
        <v>11</v>
      </c>
      <c r="D8" s="4">
        <v>9200</v>
      </c>
      <c r="E8" s="4">
        <v>8800</v>
      </c>
      <c r="F8" s="4">
        <v>32000</v>
      </c>
      <c r="G8" s="5"/>
    </row>
    <row r="9" spans="2:13" ht="18.5" x14ac:dyDescent="0.45">
      <c r="B9" s="7" t="s">
        <v>10</v>
      </c>
      <c r="C9" s="8" t="s">
        <v>11</v>
      </c>
      <c r="D9" s="2">
        <v>18500</v>
      </c>
      <c r="E9" s="2">
        <v>19000</v>
      </c>
      <c r="F9" s="2">
        <v>24500</v>
      </c>
      <c r="G9" s="3"/>
    </row>
    <row r="10" spans="2:13" ht="18.5" x14ac:dyDescent="0.45">
      <c r="B10" s="3" t="s">
        <v>12</v>
      </c>
      <c r="C10" s="3"/>
      <c r="D10" s="2"/>
      <c r="E10" s="2"/>
      <c r="F10" s="2"/>
    </row>
    <row r="11" spans="2:13" ht="15" thickBot="1" x14ac:dyDescent="0.4"/>
    <row r="12" spans="2:13" ht="19" thickBot="1" x14ac:dyDescent="0.5">
      <c r="B12" s="9" t="s">
        <v>0</v>
      </c>
      <c r="C12" s="9" t="s">
        <v>1</v>
      </c>
      <c r="D12" s="9" t="s">
        <v>13</v>
      </c>
      <c r="I12" s="6" t="s">
        <v>0</v>
      </c>
      <c r="J12" s="6" t="s">
        <v>13</v>
      </c>
      <c r="L12" s="11" t="s">
        <v>0</v>
      </c>
      <c r="M12" s="10" t="s">
        <v>14</v>
      </c>
    </row>
    <row r="13" spans="2:13" x14ac:dyDescent="0.35">
      <c r="B13" s="2" t="s">
        <v>8</v>
      </c>
      <c r="C13" s="2" t="s">
        <v>9</v>
      </c>
      <c r="D13" s="2">
        <v>7400</v>
      </c>
      <c r="F13">
        <f>PRODUCT(B13:D25)</f>
        <v>1.8417407615612927E+42</v>
      </c>
      <c r="I13" s="2" t="s">
        <v>15</v>
      </c>
      <c r="J13">
        <f>SUMIF(B13:B22,I13,D13:D22)</f>
        <v>22700</v>
      </c>
      <c r="L13" t="s">
        <v>15</v>
      </c>
      <c r="M13">
        <f t="shared" ref="M13:M14" si="0">SUMIF(B13:B22,L13,D13:D22)</f>
        <v>22700</v>
      </c>
    </row>
    <row r="14" spans="2:13" x14ac:dyDescent="0.35">
      <c r="B14" s="2" t="s">
        <v>8</v>
      </c>
      <c r="C14" s="2" t="s">
        <v>9</v>
      </c>
      <c r="D14" s="2">
        <v>9200</v>
      </c>
      <c r="I14" t="s">
        <v>16</v>
      </c>
      <c r="L14" t="s">
        <v>15</v>
      </c>
      <c r="M14">
        <f t="shared" si="0"/>
        <v>15300</v>
      </c>
    </row>
    <row r="15" spans="2:13" x14ac:dyDescent="0.35">
      <c r="B15" s="2" t="s">
        <v>8</v>
      </c>
      <c r="C15" s="2" t="s">
        <v>9</v>
      </c>
      <c r="D15" s="2">
        <v>6100</v>
      </c>
      <c r="L15" t="s">
        <v>6</v>
      </c>
      <c r="M15">
        <f>SUMIF(B13:B22,L15,D13:D22)</f>
        <v>100000</v>
      </c>
    </row>
    <row r="16" spans="2:13" ht="18.5" x14ac:dyDescent="0.45">
      <c r="B16" s="2" t="s">
        <v>6</v>
      </c>
      <c r="C16" s="2" t="s">
        <v>7</v>
      </c>
      <c r="D16" s="2">
        <v>18000</v>
      </c>
      <c r="F16" s="6" t="s">
        <v>0</v>
      </c>
      <c r="G16" s="6" t="s">
        <v>13</v>
      </c>
      <c r="L16" t="s">
        <v>6</v>
      </c>
      <c r="M16">
        <f t="shared" ref="M16:M17" si="1">SUMIF(B14:B23,L16,D14:D23)</f>
        <v>100000</v>
      </c>
    </row>
    <row r="17" spans="2:13" x14ac:dyDescent="0.35">
      <c r="B17" s="2" t="s">
        <v>6</v>
      </c>
      <c r="C17" s="2" t="s">
        <v>7</v>
      </c>
      <c r="D17" s="2">
        <v>26000</v>
      </c>
      <c r="L17" t="s">
        <v>6</v>
      </c>
      <c r="M17">
        <f t="shared" si="1"/>
        <v>100000</v>
      </c>
    </row>
    <row r="18" spans="2:13" x14ac:dyDescent="0.35">
      <c r="B18" s="2" t="s">
        <v>6</v>
      </c>
      <c r="C18" s="2" t="s">
        <v>7</v>
      </c>
      <c r="D18" s="2">
        <v>29000</v>
      </c>
    </row>
    <row r="19" spans="2:13" x14ac:dyDescent="0.35">
      <c r="B19" s="2" t="s">
        <v>6</v>
      </c>
      <c r="C19" s="2" t="s">
        <v>7</v>
      </c>
      <c r="D19" s="2">
        <v>27000</v>
      </c>
      <c r="J19" s="8"/>
      <c r="M19" t="s">
        <v>17</v>
      </c>
    </row>
    <row r="20" spans="2:13" ht="18.5" x14ac:dyDescent="0.45">
      <c r="B20" s="2" t="s">
        <v>10</v>
      </c>
      <c r="C20" s="2" t="s">
        <v>11</v>
      </c>
      <c r="D20" s="2">
        <v>32000</v>
      </c>
      <c r="F20" s="9" t="s">
        <v>0</v>
      </c>
      <c r="G20" s="9" t="s">
        <v>1</v>
      </c>
      <c r="H20" s="9" t="s">
        <v>13</v>
      </c>
      <c r="K20">
        <f>SUM(M19:M25)</f>
        <v>122700</v>
      </c>
    </row>
    <row r="21" spans="2:13" x14ac:dyDescent="0.35">
      <c r="B21" s="2" t="s">
        <v>10</v>
      </c>
      <c r="C21" s="2" t="s">
        <v>11</v>
      </c>
      <c r="D21" s="2">
        <v>6200</v>
      </c>
      <c r="E21" s="12"/>
      <c r="F21" s="14" t="s">
        <v>8</v>
      </c>
      <c r="G21" s="15" t="s">
        <v>18</v>
      </c>
      <c r="H21" s="14">
        <f>SUMIFS(D13:D22,B13:B22,F21,C13:C22,G21)</f>
        <v>22700</v>
      </c>
    </row>
    <row r="22" spans="2:13" ht="15" thickBot="1" x14ac:dyDescent="0.4">
      <c r="B22" s="2" t="s">
        <v>10</v>
      </c>
      <c r="C22" s="2" t="s">
        <v>11</v>
      </c>
      <c r="D22" s="2">
        <v>6100</v>
      </c>
      <c r="F22" s="14" t="s">
        <v>8</v>
      </c>
      <c r="G22" s="16" t="s">
        <v>19</v>
      </c>
      <c r="H22" s="13">
        <f>SUMIFS(D13:D22,B13:B22,F22,C13:C22,G22)</f>
        <v>0</v>
      </c>
    </row>
    <row r="23" spans="2:13" ht="15" thickBot="1" x14ac:dyDescent="0.4">
      <c r="D23">
        <f>COUNT(D13:D22)</f>
        <v>10</v>
      </c>
      <c r="F23" s="14" t="s">
        <v>16</v>
      </c>
      <c r="G23" s="14" t="s">
        <v>19</v>
      </c>
      <c r="H23" s="14">
        <f>SUMIFS(D13:D22,B13:B22,F23,C13:C22,G23)</f>
        <v>100000</v>
      </c>
      <c r="L23" s="11" t="s">
        <v>0</v>
      </c>
      <c r="M23" s="10" t="s">
        <v>14</v>
      </c>
    </row>
    <row r="24" spans="2:13" x14ac:dyDescent="0.35">
      <c r="L24" t="s">
        <v>6</v>
      </c>
      <c r="M24">
        <f>SUMIF(B13:B22,L24,D13:D22)</f>
        <v>100000</v>
      </c>
    </row>
    <row r="25" spans="2:13" x14ac:dyDescent="0.35">
      <c r="L25" t="s">
        <v>8</v>
      </c>
      <c r="M25">
        <f>SUMIF(B13:B22,L25,D13:D22)</f>
        <v>22700</v>
      </c>
    </row>
    <row r="29" spans="2:13" ht="18.5" x14ac:dyDescent="0.45">
      <c r="B29" s="9" t="s">
        <v>0</v>
      </c>
      <c r="C29" s="9" t="s">
        <v>1</v>
      </c>
      <c r="D29" s="9" t="s">
        <v>20</v>
      </c>
      <c r="E29" s="6" t="s">
        <v>21</v>
      </c>
      <c r="F29" s="6" t="s">
        <v>13</v>
      </c>
    </row>
    <row r="30" spans="2:13" ht="18.5" x14ac:dyDescent="0.45">
      <c r="B30" s="4" t="s">
        <v>22</v>
      </c>
      <c r="C30" s="17" t="s">
        <v>7</v>
      </c>
      <c r="D30" s="2">
        <v>15</v>
      </c>
      <c r="E30" s="18">
        <v>450</v>
      </c>
      <c r="F30" s="20">
        <f>PRODUCT(D30,E30)</f>
        <v>6750</v>
      </c>
      <c r="G30" s="6" t="s">
        <v>20</v>
      </c>
      <c r="H30" s="6" t="s">
        <v>21</v>
      </c>
      <c r="I30" s="6" t="s">
        <v>13</v>
      </c>
    </row>
    <row r="31" spans="2:13" x14ac:dyDescent="0.35">
      <c r="B31" s="14" t="s">
        <v>23</v>
      </c>
      <c r="C31" s="17" t="s">
        <v>11</v>
      </c>
      <c r="D31" s="2">
        <v>35</v>
      </c>
      <c r="E31" s="18">
        <v>249</v>
      </c>
      <c r="F31" s="20">
        <f>PRODUCT(D31,E31)</f>
        <v>8715</v>
      </c>
      <c r="G31" s="14">
        <v>15</v>
      </c>
      <c r="H31" s="20">
        <v>450</v>
      </c>
      <c r="I31">
        <f>PRODUCT(D30:E30)</f>
        <v>6750</v>
      </c>
    </row>
    <row r="32" spans="2:13" x14ac:dyDescent="0.35">
      <c r="B32" s="14" t="s">
        <v>24</v>
      </c>
      <c r="C32" s="17" t="s">
        <v>11</v>
      </c>
      <c r="D32" s="2">
        <v>45</v>
      </c>
      <c r="E32" s="18">
        <v>4400</v>
      </c>
      <c r="F32" s="20">
        <f t="shared" ref="F32:F39" si="2">PRODUCT(D32,E32)</f>
        <v>198000</v>
      </c>
      <c r="I32" s="21">
        <f>SUM(D31*E31)</f>
        <v>8715</v>
      </c>
    </row>
    <row r="33" spans="2:9" x14ac:dyDescent="0.35">
      <c r="B33" s="19" t="s">
        <v>22</v>
      </c>
      <c r="C33" s="17" t="s">
        <v>7</v>
      </c>
      <c r="D33" s="2">
        <v>250</v>
      </c>
      <c r="E33" s="18">
        <v>700</v>
      </c>
      <c r="F33" s="20">
        <f t="shared" si="2"/>
        <v>175000</v>
      </c>
      <c r="I33" s="21">
        <f>SUMPRODUCT(D33,E33)</f>
        <v>175000</v>
      </c>
    </row>
    <row r="34" spans="2:9" x14ac:dyDescent="0.35">
      <c r="B34" s="2" t="s">
        <v>23</v>
      </c>
      <c r="C34" s="17" t="s">
        <v>9</v>
      </c>
      <c r="D34" s="2">
        <v>8</v>
      </c>
      <c r="E34" s="18">
        <v>260</v>
      </c>
      <c r="F34" s="20">
        <f t="shared" si="2"/>
        <v>2080</v>
      </c>
      <c r="I34" s="21"/>
    </row>
    <row r="35" spans="2:9" x14ac:dyDescent="0.35">
      <c r="B35" s="2" t="s">
        <v>24</v>
      </c>
      <c r="C35" s="17" t="s">
        <v>11</v>
      </c>
      <c r="D35" s="2">
        <v>38</v>
      </c>
      <c r="E35" s="18">
        <v>5450</v>
      </c>
      <c r="F35" s="20">
        <f t="shared" si="2"/>
        <v>207100</v>
      </c>
      <c r="I35" s="20"/>
    </row>
    <row r="36" spans="2:9" x14ac:dyDescent="0.35">
      <c r="B36" s="2" t="s">
        <v>22</v>
      </c>
      <c r="C36" s="17" t="s">
        <v>25</v>
      </c>
      <c r="D36" s="2">
        <v>90</v>
      </c>
      <c r="E36" s="18">
        <v>5600</v>
      </c>
      <c r="F36" s="20">
        <f t="shared" si="2"/>
        <v>504000</v>
      </c>
      <c r="I36" s="20"/>
    </row>
    <row r="37" spans="2:9" x14ac:dyDescent="0.35">
      <c r="B37" s="2" t="s">
        <v>23</v>
      </c>
      <c r="C37" s="17" t="s">
        <v>11</v>
      </c>
      <c r="D37" s="2">
        <v>60</v>
      </c>
      <c r="E37" s="18">
        <v>205</v>
      </c>
      <c r="F37" s="20">
        <f t="shared" si="2"/>
        <v>12300</v>
      </c>
      <c r="I37" s="20"/>
    </row>
    <row r="38" spans="2:9" x14ac:dyDescent="0.35">
      <c r="B38" s="2" t="s">
        <v>26</v>
      </c>
      <c r="C38" s="17" t="s">
        <v>11</v>
      </c>
      <c r="D38" s="2">
        <v>12</v>
      </c>
      <c r="E38" s="18">
        <v>3900</v>
      </c>
      <c r="F38" s="20">
        <f t="shared" si="2"/>
        <v>46800</v>
      </c>
      <c r="I38" s="20"/>
    </row>
    <row r="39" spans="2:9" x14ac:dyDescent="0.35">
      <c r="B39" s="2" t="s">
        <v>22</v>
      </c>
      <c r="C39" s="17" t="s">
        <v>25</v>
      </c>
      <c r="D39" s="2">
        <v>10</v>
      </c>
      <c r="E39" s="18">
        <v>280</v>
      </c>
      <c r="F39" s="20">
        <f t="shared" si="2"/>
        <v>2800</v>
      </c>
      <c r="G39" s="21">
        <f>SUMPRODUCT(F30:F39)</f>
        <v>1163545</v>
      </c>
    </row>
    <row r="40" spans="2:9" x14ac:dyDescent="0.35">
      <c r="E40" s="15"/>
      <c r="G40">
        <f>SUM(D30:D39)</f>
        <v>563</v>
      </c>
      <c r="H40">
        <f>PRODUCT(D40,E40)</f>
        <v>0</v>
      </c>
    </row>
    <row r="41" spans="2:9" x14ac:dyDescent="0.35">
      <c r="E41" s="23" t="s">
        <v>27</v>
      </c>
      <c r="F41" s="22">
        <f>SUMPRODUCT(D30:D39,E30:E39)</f>
        <v>1163545</v>
      </c>
    </row>
    <row r="42" spans="2:9" x14ac:dyDescent="0.35">
      <c r="F42">
        <f>SUMPRODUCT(F30:F39)</f>
        <v>1163545</v>
      </c>
      <c r="G42">
        <f>PRODUCT(F30:F39)</f>
        <v>7.1327560265496882E+44</v>
      </c>
    </row>
  </sheetData>
  <sortState ref="B13:D22">
    <sortCondition ref="B12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selection activeCell="J4" sqref="J4"/>
    </sheetView>
  </sheetViews>
  <sheetFormatPr defaultRowHeight="14.5" x14ac:dyDescent="0.35"/>
  <cols>
    <col min="8" max="8" width="16.26953125" bestFit="1" customWidth="1"/>
  </cols>
  <sheetData>
    <row r="1" spans="1:9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0</v>
      </c>
      <c r="I1" s="1" t="s">
        <v>1</v>
      </c>
    </row>
    <row r="2" spans="1:9" ht="18.5" x14ac:dyDescent="0.45">
      <c r="A2" s="2" t="s">
        <v>8</v>
      </c>
      <c r="B2" s="2" t="s">
        <v>9</v>
      </c>
      <c r="C2" s="2">
        <v>27000</v>
      </c>
      <c r="D2" s="2">
        <v>10500</v>
      </c>
      <c r="E2" s="2">
        <v>8500</v>
      </c>
      <c r="F2" s="3"/>
      <c r="H2" s="2" t="s">
        <v>8</v>
      </c>
      <c r="I2" s="2" t="s">
        <v>9</v>
      </c>
    </row>
    <row r="3" spans="1:9" ht="18.5" x14ac:dyDescent="0.45">
      <c r="A3" s="2" t="s">
        <v>8</v>
      </c>
      <c r="B3" s="2" t="s">
        <v>9</v>
      </c>
      <c r="C3" s="2">
        <v>17500</v>
      </c>
      <c r="D3" s="2">
        <v>14200</v>
      </c>
      <c r="E3" s="2">
        <v>11200</v>
      </c>
      <c r="F3" s="3"/>
      <c r="H3" s="2" t="s">
        <v>8</v>
      </c>
      <c r="I3" s="2" t="s">
        <v>9</v>
      </c>
    </row>
    <row r="4" spans="1:9" ht="18.5" x14ac:dyDescent="0.45">
      <c r="A4" s="2" t="s">
        <v>8</v>
      </c>
      <c r="B4" s="2" t="s">
        <v>9</v>
      </c>
      <c r="C4" s="2">
        <v>8700</v>
      </c>
      <c r="D4" s="2">
        <v>9500</v>
      </c>
      <c r="E4" s="2">
        <v>7600</v>
      </c>
      <c r="F4" s="3"/>
      <c r="H4" s="2" t="s">
        <v>8</v>
      </c>
      <c r="I4" s="2" t="s">
        <v>9</v>
      </c>
    </row>
    <row r="5" spans="1:9" ht="18.5" x14ac:dyDescent="0.45">
      <c r="A5" s="2" t="s">
        <v>6</v>
      </c>
      <c r="B5" s="2" t="s">
        <v>7</v>
      </c>
      <c r="C5" s="2">
        <v>15000</v>
      </c>
      <c r="D5" s="2">
        <v>22000</v>
      </c>
      <c r="E5" s="2">
        <v>18000</v>
      </c>
      <c r="F5" s="3"/>
      <c r="H5" s="2" t="s">
        <v>6</v>
      </c>
      <c r="I5" s="2" t="s">
        <v>7</v>
      </c>
    </row>
    <row r="6" spans="1:9" ht="18.5" x14ac:dyDescent="0.45">
      <c r="A6" s="2" t="s">
        <v>6</v>
      </c>
      <c r="B6" s="2" t="s">
        <v>7</v>
      </c>
      <c r="C6" s="2">
        <v>33000</v>
      </c>
      <c r="D6" s="2">
        <v>29000</v>
      </c>
      <c r="E6" s="2">
        <v>21000</v>
      </c>
      <c r="F6" s="3"/>
      <c r="H6" s="2" t="s">
        <v>6</v>
      </c>
      <c r="I6" s="2" t="s">
        <v>7</v>
      </c>
    </row>
    <row r="7" spans="1:9" ht="18.5" x14ac:dyDescent="0.45">
      <c r="A7" s="2" t="s">
        <v>6</v>
      </c>
      <c r="B7" s="2" t="s">
        <v>7</v>
      </c>
      <c r="C7" s="2">
        <v>11000</v>
      </c>
      <c r="D7" s="2">
        <v>17000</v>
      </c>
      <c r="E7" s="2">
        <v>14000</v>
      </c>
      <c r="F7" s="3"/>
      <c r="H7" s="2" t="s">
        <v>6</v>
      </c>
      <c r="I7" s="2" t="s">
        <v>7</v>
      </c>
    </row>
    <row r="8" spans="1:9" ht="18.5" x14ac:dyDescent="0.45">
      <c r="A8" s="2" t="s">
        <v>10</v>
      </c>
      <c r="B8" s="2" t="s">
        <v>11</v>
      </c>
      <c r="C8" s="4">
        <v>9200</v>
      </c>
      <c r="D8" s="4">
        <v>8800</v>
      </c>
      <c r="E8" s="4">
        <v>32000</v>
      </c>
      <c r="F8" s="5"/>
      <c r="H8" s="2" t="s">
        <v>10</v>
      </c>
      <c r="I8" s="2" t="s">
        <v>11</v>
      </c>
    </row>
    <row r="9" spans="1:9" ht="18.5" x14ac:dyDescent="0.45">
      <c r="A9" s="7" t="s">
        <v>10</v>
      </c>
      <c r="B9" s="8" t="s">
        <v>11</v>
      </c>
      <c r="C9" s="2">
        <v>18500</v>
      </c>
      <c r="D9" s="2">
        <v>19000</v>
      </c>
      <c r="E9" s="2">
        <v>24500</v>
      </c>
      <c r="F9" s="3"/>
      <c r="H9" s="7" t="s">
        <v>10</v>
      </c>
      <c r="I9" s="121" t="s">
        <v>11</v>
      </c>
    </row>
  </sheetData>
  <dataValidations count="1">
    <dataValidation type="list" allowBlank="1" showInputMessage="1" showErrorMessage="1" promptTitle="west,east,north" sqref="I2:I9">
      <formula1>"West,East,North"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zoomScale="140" zoomScaleNormal="140" workbookViewId="0">
      <selection activeCell="F21" sqref="F21"/>
    </sheetView>
  </sheetViews>
  <sheetFormatPr defaultRowHeight="14.5" x14ac:dyDescent="0.35"/>
  <cols>
    <col min="1" max="1" width="11.26953125" customWidth="1"/>
    <col min="4" max="4" width="15.81640625" bestFit="1" customWidth="1"/>
    <col min="6" max="6" width="15.81640625" bestFit="1" customWidth="1"/>
    <col min="7" max="7" width="13.81640625" bestFit="1" customWidth="1"/>
    <col min="8" max="8" width="14.6328125" bestFit="1" customWidth="1"/>
  </cols>
  <sheetData>
    <row r="1" spans="1:8" ht="18.5" x14ac:dyDescent="0.45">
      <c r="A1" s="24" t="s">
        <v>28</v>
      </c>
      <c r="B1" s="9" t="s">
        <v>0</v>
      </c>
      <c r="C1" s="9" t="s">
        <v>13</v>
      </c>
      <c r="D1" s="9" t="s">
        <v>29</v>
      </c>
    </row>
    <row r="2" spans="1:8" x14ac:dyDescent="0.35">
      <c r="A2" s="25">
        <v>45292</v>
      </c>
      <c r="B2" s="2" t="s">
        <v>30</v>
      </c>
      <c r="C2" s="17">
        <v>180</v>
      </c>
      <c r="D2" s="26">
        <f ca="1">SUM(C2:$D$4)</f>
        <v>180</v>
      </c>
    </row>
    <row r="3" spans="1:8" x14ac:dyDescent="0.35">
      <c r="A3" s="25">
        <v>45293</v>
      </c>
      <c r="B3" s="2" t="s">
        <v>31</v>
      </c>
      <c r="C3" s="17">
        <v>220</v>
      </c>
      <c r="D3" s="2">
        <f ca="1">SUM(C3:$D$4)</f>
        <v>400</v>
      </c>
      <c r="H3" t="str">
        <f ca="1">_xlfn.FORMULATEXT(H6)</f>
        <v>=SUM($C$2:C3)</v>
      </c>
    </row>
    <row r="4" spans="1:8" ht="18.5" x14ac:dyDescent="0.45">
      <c r="A4" s="25">
        <v>45294</v>
      </c>
      <c r="B4" s="2" t="s">
        <v>32</v>
      </c>
      <c r="C4" s="17">
        <v>170</v>
      </c>
      <c r="D4" s="2">
        <f ca="1">SUM(C$4:$D4)</f>
        <v>570</v>
      </c>
      <c r="H4" s="9" t="s">
        <v>34</v>
      </c>
    </row>
    <row r="5" spans="1:8" x14ac:dyDescent="0.35">
      <c r="A5" s="25">
        <v>45295</v>
      </c>
      <c r="B5" s="2" t="s">
        <v>33</v>
      </c>
      <c r="C5" s="17">
        <v>250</v>
      </c>
      <c r="D5" s="2">
        <f ca="1">SUM(C$4:$D5)</f>
        <v>820</v>
      </c>
      <c r="G5" t="str">
        <f ca="1">_xlfn.FORMULATEXT(H6)</f>
        <v>=SUM($C$2:C3)</v>
      </c>
      <c r="H5">
        <f>SUM($C$2:C2)</f>
        <v>180</v>
      </c>
    </row>
    <row r="6" spans="1:8" x14ac:dyDescent="0.35">
      <c r="A6" s="25">
        <v>45296</v>
      </c>
      <c r="B6" s="2" t="s">
        <v>31</v>
      </c>
      <c r="C6" s="17">
        <v>130</v>
      </c>
      <c r="D6" s="2">
        <f ca="1">SUM(C$4:$D6)</f>
        <v>950</v>
      </c>
      <c r="H6">
        <f>SUM($C$2:C3)</f>
        <v>400</v>
      </c>
    </row>
    <row r="7" spans="1:8" x14ac:dyDescent="0.35">
      <c r="A7" s="25">
        <v>45297</v>
      </c>
      <c r="B7" s="2" t="s">
        <v>32</v>
      </c>
      <c r="C7" s="17">
        <v>370</v>
      </c>
      <c r="D7" s="2">
        <f ca="1">SUM(C$4:$D7)</f>
        <v>1320</v>
      </c>
      <c r="H7">
        <f>SUM($C$2:C4)</f>
        <v>570</v>
      </c>
    </row>
    <row r="8" spans="1:8" x14ac:dyDescent="0.35">
      <c r="A8" s="25">
        <v>45298</v>
      </c>
      <c r="B8" s="2" t="s">
        <v>33</v>
      </c>
      <c r="C8" s="17">
        <v>280</v>
      </c>
      <c r="D8" s="2">
        <f ca="1">SUM(C$4:$D8)</f>
        <v>1600</v>
      </c>
      <c r="H8">
        <f>SUM($C$2:C5)</f>
        <v>820</v>
      </c>
    </row>
    <row r="9" spans="1:8" x14ac:dyDescent="0.35">
      <c r="A9" s="25">
        <v>45299</v>
      </c>
      <c r="B9" s="2" t="s">
        <v>31</v>
      </c>
      <c r="C9" s="17">
        <v>360</v>
      </c>
      <c r="D9" s="2">
        <f ca="1">SUM(C$4:$D9)</f>
        <v>1960</v>
      </c>
      <c r="H9">
        <f>SUM($C$2:C6)</f>
        <v>950</v>
      </c>
    </row>
    <row r="10" spans="1:8" x14ac:dyDescent="0.35">
      <c r="A10" s="25">
        <v>45300</v>
      </c>
      <c r="B10" s="2" t="s">
        <v>32</v>
      </c>
      <c r="C10" s="17">
        <v>420</v>
      </c>
      <c r="D10" s="2">
        <f ca="1">SUM(C$4:$D10)</f>
        <v>2380</v>
      </c>
      <c r="H10">
        <f>SUM($C$2:C7)</f>
        <v>1320</v>
      </c>
    </row>
    <row r="11" spans="1:8" x14ac:dyDescent="0.35">
      <c r="H11">
        <f>SUM($C$2:C8)</f>
        <v>1600</v>
      </c>
    </row>
    <row r="12" spans="1:8" x14ac:dyDescent="0.35">
      <c r="H12">
        <f>SUM($C$2:C9)</f>
        <v>1960</v>
      </c>
    </row>
    <row r="13" spans="1:8" x14ac:dyDescent="0.35">
      <c r="H13">
        <f>SUM($C$2:C10)</f>
        <v>2380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G14"/>
  <sheetViews>
    <sheetView topLeftCell="I14" workbookViewId="0">
      <selection activeCell="R9" sqref="R9"/>
    </sheetView>
  </sheetViews>
  <sheetFormatPr defaultRowHeight="14.5" x14ac:dyDescent="0.35"/>
  <cols>
    <col min="3" max="3" width="9.7265625" bestFit="1" customWidth="1"/>
    <col min="14" max="14" width="7.6328125" bestFit="1" customWidth="1"/>
  </cols>
  <sheetData>
    <row r="1" spans="1:33" x14ac:dyDescent="0.35">
      <c r="A1" s="123" t="s">
        <v>46</v>
      </c>
      <c r="B1" s="123"/>
      <c r="C1" s="123"/>
      <c r="L1" s="27"/>
      <c r="M1" s="28"/>
      <c r="N1" s="122" t="s">
        <v>45</v>
      </c>
      <c r="O1" s="122"/>
      <c r="P1" s="122"/>
      <c r="Q1" s="29"/>
      <c r="R1" s="122" t="s">
        <v>48</v>
      </c>
      <c r="S1" s="122"/>
      <c r="T1" s="122"/>
      <c r="V1" s="122" t="s">
        <v>47</v>
      </c>
      <c r="W1" s="122"/>
      <c r="X1" s="122"/>
      <c r="AA1" s="122" t="s">
        <v>49</v>
      </c>
      <c r="AB1" s="122"/>
      <c r="AC1" s="122"/>
      <c r="AE1" s="122" t="s">
        <v>50</v>
      </c>
      <c r="AF1" s="122"/>
      <c r="AG1" s="122"/>
    </row>
    <row r="2" spans="1:33" x14ac:dyDescent="0.35">
      <c r="A2" t="s">
        <v>35</v>
      </c>
      <c r="B2" t="s">
        <v>36</v>
      </c>
      <c r="C2" t="s">
        <v>37</v>
      </c>
      <c r="L2" s="30"/>
      <c r="M2" s="8"/>
      <c r="N2" s="8" t="s">
        <v>35</v>
      </c>
      <c r="O2" s="8" t="s">
        <v>36</v>
      </c>
      <c r="P2" s="8" t="s">
        <v>44</v>
      </c>
      <c r="Q2" s="31"/>
      <c r="R2">
        <v>50</v>
      </c>
      <c r="S2">
        <v>5</v>
      </c>
      <c r="T2">
        <f>$S$2+R2</f>
        <v>55</v>
      </c>
      <c r="V2">
        <v>50</v>
      </c>
      <c r="W2">
        <v>5</v>
      </c>
      <c r="X2">
        <f>$W$2-V2</f>
        <v>-45</v>
      </c>
      <c r="Y2">
        <f>V2-$W$2</f>
        <v>45</v>
      </c>
      <c r="AA2">
        <v>50</v>
      </c>
      <c r="AB2">
        <v>5</v>
      </c>
      <c r="AC2">
        <f>AA2*$AB$2</f>
        <v>250</v>
      </c>
      <c r="AE2">
        <v>50</v>
      </c>
      <c r="AF2">
        <v>5</v>
      </c>
      <c r="AG2">
        <f>AE2/$AF$2</f>
        <v>10</v>
      </c>
    </row>
    <row r="3" spans="1:33" x14ac:dyDescent="0.35">
      <c r="A3" t="s">
        <v>38</v>
      </c>
      <c r="B3">
        <v>2</v>
      </c>
      <c r="C3">
        <v>3</v>
      </c>
      <c r="D3">
        <f>B3+C3</f>
        <v>5</v>
      </c>
      <c r="E3">
        <f t="shared" ref="E3:I3" si="0">C3+D3</f>
        <v>8</v>
      </c>
      <c r="F3">
        <f t="shared" si="0"/>
        <v>13</v>
      </c>
      <c r="G3">
        <f t="shared" si="0"/>
        <v>21</v>
      </c>
      <c r="H3">
        <f t="shared" si="0"/>
        <v>34</v>
      </c>
      <c r="I3">
        <f t="shared" si="0"/>
        <v>55</v>
      </c>
      <c r="L3" s="30"/>
      <c r="M3" s="8"/>
      <c r="N3" s="8" t="s">
        <v>38</v>
      </c>
      <c r="O3" s="8">
        <v>2</v>
      </c>
      <c r="P3" s="8">
        <f t="shared" ref="P3:P8" si="1">$O$12*O3</f>
        <v>4</v>
      </c>
      <c r="Q3" s="31"/>
      <c r="R3">
        <v>45</v>
      </c>
      <c r="T3">
        <f t="shared" ref="T3:T10" si="2">$S$2+R3</f>
        <v>50</v>
      </c>
      <c r="V3">
        <v>45</v>
      </c>
      <c r="X3">
        <f t="shared" ref="X3:X11" si="3">$W$2-V3</f>
        <v>-40</v>
      </c>
      <c r="Y3">
        <f t="shared" ref="Y3:Y11" si="4">V3-$W$2</f>
        <v>40</v>
      </c>
      <c r="AA3">
        <v>45</v>
      </c>
      <c r="AC3">
        <f t="shared" ref="AC3:AC11" si="5">AA3*$AB$2</f>
        <v>225</v>
      </c>
      <c r="AE3">
        <v>45</v>
      </c>
      <c r="AG3">
        <f t="shared" ref="AG3:AG11" si="6">AE3/$AF$2</f>
        <v>9</v>
      </c>
    </row>
    <row r="4" spans="1:33" x14ac:dyDescent="0.35">
      <c r="A4" t="s">
        <v>39</v>
      </c>
      <c r="B4">
        <v>5</v>
      </c>
      <c r="C4">
        <v>5</v>
      </c>
      <c r="L4" s="30"/>
      <c r="M4" s="8"/>
      <c r="N4" s="8" t="s">
        <v>39</v>
      </c>
      <c r="O4" s="8">
        <v>5</v>
      </c>
      <c r="P4" s="8">
        <f t="shared" si="1"/>
        <v>10</v>
      </c>
      <c r="Q4" s="31"/>
      <c r="R4">
        <v>40</v>
      </c>
      <c r="T4">
        <f t="shared" si="2"/>
        <v>45</v>
      </c>
      <c r="V4">
        <v>40</v>
      </c>
      <c r="X4">
        <f t="shared" si="3"/>
        <v>-35</v>
      </c>
      <c r="Y4">
        <f t="shared" si="4"/>
        <v>35</v>
      </c>
      <c r="AA4">
        <v>40</v>
      </c>
      <c r="AC4">
        <f t="shared" si="5"/>
        <v>200</v>
      </c>
      <c r="AE4">
        <v>40</v>
      </c>
      <c r="AG4">
        <f t="shared" si="6"/>
        <v>8</v>
      </c>
    </row>
    <row r="5" spans="1:33" x14ac:dyDescent="0.35">
      <c r="A5" t="s">
        <v>40</v>
      </c>
      <c r="B5">
        <v>10</v>
      </c>
      <c r="C5">
        <v>2</v>
      </c>
      <c r="L5" s="30"/>
      <c r="M5" s="8"/>
      <c r="N5" s="8" t="s">
        <v>40</v>
      </c>
      <c r="O5" s="8">
        <v>10</v>
      </c>
      <c r="P5" s="8">
        <f t="shared" si="1"/>
        <v>20</v>
      </c>
      <c r="Q5" s="31"/>
      <c r="R5">
        <v>35</v>
      </c>
      <c r="T5">
        <f t="shared" si="2"/>
        <v>40</v>
      </c>
      <c r="V5">
        <v>35</v>
      </c>
      <c r="X5">
        <f t="shared" si="3"/>
        <v>-30</v>
      </c>
      <c r="Y5">
        <f t="shared" si="4"/>
        <v>30</v>
      </c>
      <c r="AA5">
        <v>35</v>
      </c>
      <c r="AC5">
        <f t="shared" si="5"/>
        <v>175</v>
      </c>
      <c r="AE5">
        <v>35</v>
      </c>
      <c r="AG5">
        <f t="shared" si="6"/>
        <v>7</v>
      </c>
    </row>
    <row r="6" spans="1:33" x14ac:dyDescent="0.35">
      <c r="A6" t="s">
        <v>41</v>
      </c>
      <c r="B6">
        <v>7</v>
      </c>
      <c r="C6">
        <v>1</v>
      </c>
      <c r="L6" s="30"/>
      <c r="M6" s="8"/>
      <c r="N6" s="8" t="s">
        <v>41</v>
      </c>
      <c r="O6" s="8">
        <v>7</v>
      </c>
      <c r="P6" s="8">
        <f t="shared" si="1"/>
        <v>14</v>
      </c>
      <c r="Q6" s="31"/>
      <c r="R6">
        <v>30</v>
      </c>
      <c r="T6">
        <f t="shared" si="2"/>
        <v>35</v>
      </c>
      <c r="V6">
        <v>30</v>
      </c>
      <c r="X6">
        <f t="shared" si="3"/>
        <v>-25</v>
      </c>
      <c r="Y6">
        <f t="shared" si="4"/>
        <v>25</v>
      </c>
      <c r="AA6">
        <v>30</v>
      </c>
      <c r="AC6">
        <f t="shared" si="5"/>
        <v>150</v>
      </c>
      <c r="AE6">
        <v>30</v>
      </c>
      <c r="AG6">
        <f t="shared" si="6"/>
        <v>6</v>
      </c>
    </row>
    <row r="7" spans="1:33" x14ac:dyDescent="0.35">
      <c r="A7" t="s">
        <v>42</v>
      </c>
      <c r="B7">
        <v>6</v>
      </c>
      <c r="C7">
        <v>2</v>
      </c>
      <c r="L7" s="30"/>
      <c r="M7" s="8"/>
      <c r="N7" s="8" t="s">
        <v>42</v>
      </c>
      <c r="O7" s="8">
        <v>6</v>
      </c>
      <c r="P7" s="8">
        <f t="shared" si="1"/>
        <v>12</v>
      </c>
      <c r="Q7" s="31"/>
      <c r="R7">
        <v>25</v>
      </c>
      <c r="T7">
        <f t="shared" si="2"/>
        <v>30</v>
      </c>
      <c r="V7">
        <v>25</v>
      </c>
      <c r="X7">
        <f t="shared" si="3"/>
        <v>-20</v>
      </c>
      <c r="Y7">
        <f t="shared" si="4"/>
        <v>20</v>
      </c>
      <c r="AA7">
        <v>25</v>
      </c>
      <c r="AC7">
        <f t="shared" si="5"/>
        <v>125</v>
      </c>
      <c r="AE7">
        <v>25</v>
      </c>
      <c r="AG7">
        <f t="shared" si="6"/>
        <v>5</v>
      </c>
    </row>
    <row r="8" spans="1:33" x14ac:dyDescent="0.35">
      <c r="A8" t="s">
        <v>43</v>
      </c>
      <c r="B8">
        <v>3</v>
      </c>
      <c r="C8">
        <v>4</v>
      </c>
      <c r="L8" s="30"/>
      <c r="M8" s="8"/>
      <c r="N8" s="8" t="s">
        <v>43</v>
      </c>
      <c r="O8" s="8">
        <v>3</v>
      </c>
      <c r="P8" s="8">
        <f t="shared" si="1"/>
        <v>6</v>
      </c>
      <c r="Q8" s="31"/>
      <c r="R8">
        <v>20</v>
      </c>
      <c r="T8">
        <f t="shared" si="2"/>
        <v>25</v>
      </c>
      <c r="V8">
        <v>20</v>
      </c>
      <c r="X8">
        <f t="shared" si="3"/>
        <v>-15</v>
      </c>
      <c r="Y8">
        <f t="shared" si="4"/>
        <v>15</v>
      </c>
      <c r="AA8">
        <v>20</v>
      </c>
      <c r="AC8">
        <f t="shared" si="5"/>
        <v>100</v>
      </c>
      <c r="AE8">
        <v>20</v>
      </c>
      <c r="AG8">
        <f t="shared" si="6"/>
        <v>4</v>
      </c>
    </row>
    <row r="9" spans="1:33" x14ac:dyDescent="0.35">
      <c r="L9" s="30"/>
      <c r="M9" s="8"/>
      <c r="N9" s="8"/>
      <c r="O9" s="8"/>
      <c r="P9" s="8"/>
      <c r="Q9" s="31"/>
      <c r="R9">
        <v>15</v>
      </c>
      <c r="T9">
        <f t="shared" si="2"/>
        <v>20</v>
      </c>
      <c r="V9">
        <v>15</v>
      </c>
      <c r="X9">
        <f t="shared" si="3"/>
        <v>-10</v>
      </c>
      <c r="Y9">
        <f t="shared" si="4"/>
        <v>10</v>
      </c>
      <c r="AA9">
        <v>15</v>
      </c>
      <c r="AC9">
        <f t="shared" si="5"/>
        <v>75</v>
      </c>
      <c r="AE9">
        <v>15</v>
      </c>
      <c r="AG9">
        <f t="shared" si="6"/>
        <v>3</v>
      </c>
    </row>
    <row r="10" spans="1:33" x14ac:dyDescent="0.35">
      <c r="L10" s="30"/>
      <c r="M10" s="8"/>
      <c r="N10" s="8"/>
      <c r="O10" s="8"/>
      <c r="P10" s="8"/>
      <c r="Q10" s="31"/>
      <c r="R10">
        <v>10</v>
      </c>
      <c r="T10">
        <f t="shared" si="2"/>
        <v>15</v>
      </c>
      <c r="V10">
        <v>10</v>
      </c>
      <c r="X10">
        <f t="shared" si="3"/>
        <v>-5</v>
      </c>
      <c r="Y10">
        <f t="shared" si="4"/>
        <v>5</v>
      </c>
      <c r="AA10">
        <v>10</v>
      </c>
      <c r="AC10">
        <f t="shared" si="5"/>
        <v>50</v>
      </c>
      <c r="AE10">
        <v>10</v>
      </c>
      <c r="AG10">
        <f t="shared" si="6"/>
        <v>2</v>
      </c>
    </row>
    <row r="11" spans="1:33" x14ac:dyDescent="0.35">
      <c r="L11" s="30"/>
      <c r="M11" s="8"/>
      <c r="N11" s="8"/>
      <c r="O11" s="8"/>
      <c r="P11" s="8"/>
      <c r="Q11" s="31"/>
      <c r="R11">
        <v>5</v>
      </c>
      <c r="T11">
        <f>$S$2+$R$11</f>
        <v>10</v>
      </c>
      <c r="V11">
        <v>5</v>
      </c>
      <c r="X11">
        <f t="shared" si="3"/>
        <v>0</v>
      </c>
      <c r="Y11">
        <f t="shared" si="4"/>
        <v>0</v>
      </c>
      <c r="AA11">
        <v>5</v>
      </c>
      <c r="AC11">
        <f t="shared" si="5"/>
        <v>25</v>
      </c>
      <c r="AE11">
        <v>5</v>
      </c>
      <c r="AG11">
        <f t="shared" si="6"/>
        <v>1</v>
      </c>
    </row>
    <row r="12" spans="1:33" x14ac:dyDescent="0.35">
      <c r="L12" s="30"/>
      <c r="M12" s="8"/>
      <c r="N12" s="8" t="s">
        <v>21</v>
      </c>
      <c r="O12" s="8">
        <v>2</v>
      </c>
      <c r="P12" s="8"/>
      <c r="Q12" s="31"/>
    </row>
    <row r="13" spans="1:33" x14ac:dyDescent="0.35">
      <c r="L13" s="30"/>
      <c r="M13" s="8"/>
      <c r="N13" s="8"/>
      <c r="O13" s="8"/>
      <c r="P13" s="8"/>
      <c r="Q13" s="31"/>
    </row>
    <row r="14" spans="1:33" ht="15" thickBot="1" x14ac:dyDescent="0.4">
      <c r="L14" s="32"/>
      <c r="M14" s="33"/>
      <c r="N14" s="33"/>
      <c r="O14" s="33"/>
      <c r="P14" s="33"/>
      <c r="Q14" s="34"/>
    </row>
  </sheetData>
  <mergeCells count="6">
    <mergeCell ref="AE1:AG1"/>
    <mergeCell ref="N1:P1"/>
    <mergeCell ref="A1:C1"/>
    <mergeCell ref="R1:T1"/>
    <mergeCell ref="V1:X1"/>
    <mergeCell ref="AA1:AC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activeCell="M8" sqref="M8"/>
    </sheetView>
  </sheetViews>
  <sheetFormatPr defaultRowHeight="14.5" x14ac:dyDescent="0.35"/>
  <cols>
    <col min="3" max="3" width="14" bestFit="1" customWidth="1"/>
    <col min="5" max="5" width="13.90625" bestFit="1" customWidth="1"/>
    <col min="9" max="9" width="22.81640625" bestFit="1" customWidth="1"/>
    <col min="10" max="10" width="35.453125" bestFit="1" customWidth="1"/>
  </cols>
  <sheetData>
    <row r="1" spans="1:10" ht="18.5" x14ac:dyDescent="0.45">
      <c r="A1" s="42" t="s">
        <v>51</v>
      </c>
      <c r="B1" s="6" t="s">
        <v>59</v>
      </c>
      <c r="C1" s="43" t="s">
        <v>61</v>
      </c>
      <c r="D1" s="35" t="s">
        <v>60</v>
      </c>
      <c r="E1" s="46" t="s">
        <v>62</v>
      </c>
      <c r="F1" s="46" t="s">
        <v>63</v>
      </c>
      <c r="G1" s="46" t="s">
        <v>64</v>
      </c>
      <c r="I1" s="47" t="s">
        <v>65</v>
      </c>
    </row>
    <row r="2" spans="1:10" x14ac:dyDescent="0.35">
      <c r="A2" s="36" t="s">
        <v>52</v>
      </c>
      <c r="B2" s="40">
        <v>3000</v>
      </c>
      <c r="C2" s="37">
        <f>B2-D2</f>
        <v>2436</v>
      </c>
      <c r="D2" s="16">
        <v>564</v>
      </c>
      <c r="E2">
        <f>D2*13/10</f>
        <v>733.2</v>
      </c>
      <c r="F2">
        <f>C2-$E$2</f>
        <v>1702.8</v>
      </c>
      <c r="I2">
        <f>B2+IF(B2&gt;2000,3000,IF(B2&lt;=2000,5000))</f>
        <v>6000</v>
      </c>
      <c r="J2" t="str">
        <f ca="1">_xlfn.FORMULATEXT(I2)</f>
        <v>=B2+IF(B2&gt;2000,3000,IF(B2&lt;=2000,5000))</v>
      </c>
    </row>
    <row r="3" spans="1:10" x14ac:dyDescent="0.35">
      <c r="A3" s="44" t="s">
        <v>53</v>
      </c>
      <c r="B3" s="14">
        <v>4200</v>
      </c>
      <c r="C3" s="13">
        <f t="shared" ref="C3:C8" si="0">B3-D3</f>
        <v>3636</v>
      </c>
      <c r="D3" s="14">
        <v>564</v>
      </c>
      <c r="F3">
        <f t="shared" ref="F3:F9" si="1">C3-$E$2</f>
        <v>2902.8</v>
      </c>
      <c r="I3">
        <f t="shared" ref="I3:I9" si="2">B3+IF(B3&gt;2000,3000,IF(B3&lt;=2000,5000))</f>
        <v>7200</v>
      </c>
      <c r="J3" t="str">
        <f t="shared" ref="J3:J9" ca="1" si="3">_xlfn.FORMULATEXT(I3)</f>
        <v>=B3+IF(B3&gt;2000,3000,IF(B3&lt;=2000,5000))</v>
      </c>
    </row>
    <row r="4" spans="1:10" x14ac:dyDescent="0.35">
      <c r="A4" s="44" t="s">
        <v>54</v>
      </c>
      <c r="B4" s="14">
        <v>5000</v>
      </c>
      <c r="C4" s="13">
        <f t="shared" si="0"/>
        <v>4436</v>
      </c>
      <c r="D4" s="14">
        <v>564</v>
      </c>
      <c r="F4">
        <f t="shared" si="1"/>
        <v>3702.8</v>
      </c>
      <c r="I4">
        <f t="shared" si="2"/>
        <v>8000</v>
      </c>
      <c r="J4" t="str">
        <f t="shared" ca="1" si="3"/>
        <v>=B4+IF(B4&gt;2000,3000,IF(B4&lt;=2000,5000))</v>
      </c>
    </row>
    <row r="5" spans="1:10" x14ac:dyDescent="0.35">
      <c r="A5" s="38" t="s">
        <v>56</v>
      </c>
      <c r="B5" s="41">
        <v>1000</v>
      </c>
      <c r="C5" s="39">
        <f t="shared" si="0"/>
        <v>436</v>
      </c>
      <c r="D5" s="41">
        <v>564</v>
      </c>
      <c r="F5">
        <f t="shared" si="1"/>
        <v>-297.20000000000005</v>
      </c>
      <c r="I5">
        <f t="shared" si="2"/>
        <v>6000</v>
      </c>
      <c r="J5" t="str">
        <f t="shared" ca="1" si="3"/>
        <v>=B5+IF(B5&gt;2000,3000,IF(B5&lt;=2000,5000))</v>
      </c>
    </row>
    <row r="6" spans="1:10" x14ac:dyDescent="0.35">
      <c r="A6" s="14" t="s">
        <v>55</v>
      </c>
      <c r="B6" s="40">
        <v>6547</v>
      </c>
      <c r="C6" s="37">
        <f t="shared" si="0"/>
        <v>5983</v>
      </c>
      <c r="D6" s="40">
        <v>564</v>
      </c>
      <c r="F6">
        <f t="shared" si="1"/>
        <v>5249.8</v>
      </c>
      <c r="I6">
        <f t="shared" si="2"/>
        <v>9547</v>
      </c>
      <c r="J6" t="str">
        <f t="shared" ca="1" si="3"/>
        <v>=B6+IF(B6&gt;2000,3000,IF(B6&lt;=2000,5000))</v>
      </c>
    </row>
    <row r="7" spans="1:10" x14ac:dyDescent="0.35">
      <c r="A7" s="36" t="s">
        <v>57</v>
      </c>
      <c r="B7" s="14">
        <v>7865</v>
      </c>
      <c r="C7" s="13">
        <f t="shared" si="0"/>
        <v>7301</v>
      </c>
      <c r="D7" s="14">
        <v>564</v>
      </c>
      <c r="F7">
        <f t="shared" si="1"/>
        <v>6567.8</v>
      </c>
      <c r="I7">
        <f t="shared" si="2"/>
        <v>10865</v>
      </c>
      <c r="J7" t="str">
        <f t="shared" ca="1" si="3"/>
        <v>=B7+IF(B7&gt;2000,3000,IF(B7&lt;=2000,5000))</v>
      </c>
    </row>
    <row r="8" spans="1:10" x14ac:dyDescent="0.35">
      <c r="A8" s="14" t="s">
        <v>58</v>
      </c>
      <c r="B8" s="41">
        <v>2314</v>
      </c>
      <c r="C8" s="39">
        <f t="shared" si="0"/>
        <v>1750</v>
      </c>
      <c r="D8" s="41">
        <v>564</v>
      </c>
      <c r="F8">
        <f t="shared" si="1"/>
        <v>1016.8</v>
      </c>
      <c r="I8">
        <f t="shared" si="2"/>
        <v>5314</v>
      </c>
      <c r="J8" t="str">
        <f t="shared" ca="1" si="3"/>
        <v>=B8+IF(B8&gt;2000,3000,IF(B8&lt;=2000,5000))</v>
      </c>
    </row>
    <row r="9" spans="1:10" x14ac:dyDescent="0.35">
      <c r="B9">
        <f>SUM(B2:B8)</f>
        <v>29926</v>
      </c>
      <c r="C9" s="45">
        <f>SUM(C2:C8)</f>
        <v>25978</v>
      </c>
      <c r="D9">
        <f>SUM(D2:D8)</f>
        <v>3948</v>
      </c>
      <c r="F9">
        <f t="shared" si="1"/>
        <v>25244.799999999999</v>
      </c>
      <c r="I9">
        <f t="shared" si="2"/>
        <v>32926</v>
      </c>
      <c r="J9" t="str">
        <f t="shared" ca="1" si="3"/>
        <v>=B9+IF(B9&gt;2000,3000,IF(B9&lt;=2000,5000))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-0.499984740745262"/>
  </sheetPr>
  <dimension ref="A1:F21"/>
  <sheetViews>
    <sheetView workbookViewId="0">
      <selection activeCell="F1" sqref="F1"/>
    </sheetView>
  </sheetViews>
  <sheetFormatPr defaultRowHeight="14.5" x14ac:dyDescent="0.35"/>
  <cols>
    <col min="1" max="1" width="14.08984375" bestFit="1" customWidth="1"/>
    <col min="4" max="4" width="32.81640625" bestFit="1" customWidth="1"/>
  </cols>
  <sheetData>
    <row r="1" spans="1:4" ht="15.5" x14ac:dyDescent="0.35">
      <c r="A1" s="49" t="s">
        <v>66</v>
      </c>
      <c r="B1" s="50" t="s">
        <v>67</v>
      </c>
      <c r="C1" s="49" t="s">
        <v>68</v>
      </c>
      <c r="D1" s="49" t="s">
        <v>69</v>
      </c>
    </row>
    <row r="2" spans="1:4" x14ac:dyDescent="0.35">
      <c r="A2" s="14" t="s">
        <v>70</v>
      </c>
      <c r="B2" s="44" t="s">
        <v>71</v>
      </c>
      <c r="C2" s="14">
        <v>45</v>
      </c>
      <c r="D2" s="14" t="b">
        <f>AND(B2="Fire",C2&gt;70)</f>
        <v>0</v>
      </c>
    </row>
    <row r="3" spans="1:4" x14ac:dyDescent="0.35">
      <c r="A3" s="14" t="s">
        <v>72</v>
      </c>
      <c r="B3" s="44" t="s">
        <v>71</v>
      </c>
      <c r="C3" s="14">
        <v>60</v>
      </c>
      <c r="D3" s="14" t="b">
        <f t="shared" ref="D3:D10" si="0">AND(B3="Fire",C3&gt;70)</f>
        <v>0</v>
      </c>
    </row>
    <row r="4" spans="1:4" x14ac:dyDescent="0.35">
      <c r="A4" s="14" t="s">
        <v>73</v>
      </c>
      <c r="B4" s="44" t="s">
        <v>71</v>
      </c>
      <c r="C4" s="14">
        <v>80</v>
      </c>
      <c r="D4" s="14" t="b">
        <f t="shared" si="0"/>
        <v>0</v>
      </c>
    </row>
    <row r="5" spans="1:4" x14ac:dyDescent="0.35">
      <c r="A5" s="14" t="s">
        <v>74</v>
      </c>
      <c r="B5" s="14" t="s">
        <v>75</v>
      </c>
      <c r="C5" s="14">
        <v>65</v>
      </c>
      <c r="D5" s="14" t="b">
        <f t="shared" si="0"/>
        <v>0</v>
      </c>
    </row>
    <row r="6" spans="1:4" x14ac:dyDescent="0.35">
      <c r="A6" s="14" t="s">
        <v>76</v>
      </c>
      <c r="B6" s="14" t="s">
        <v>75</v>
      </c>
      <c r="C6" s="14">
        <v>80</v>
      </c>
      <c r="D6" s="14" t="b">
        <f t="shared" si="0"/>
        <v>1</v>
      </c>
    </row>
    <row r="7" spans="1:4" x14ac:dyDescent="0.35">
      <c r="A7" s="14" t="s">
        <v>77</v>
      </c>
      <c r="B7" s="14" t="s">
        <v>75</v>
      </c>
      <c r="C7" s="14">
        <v>100</v>
      </c>
      <c r="D7" s="14" t="b">
        <f t="shared" si="0"/>
        <v>1</v>
      </c>
    </row>
    <row r="8" spans="1:4" x14ac:dyDescent="0.35">
      <c r="A8" s="14" t="s">
        <v>78</v>
      </c>
      <c r="B8" s="14" t="s">
        <v>79</v>
      </c>
      <c r="C8" s="14">
        <v>43</v>
      </c>
      <c r="D8" s="14" t="b">
        <f t="shared" si="0"/>
        <v>0</v>
      </c>
    </row>
    <row r="9" spans="1:4" x14ac:dyDescent="0.35">
      <c r="A9" s="14" t="s">
        <v>80</v>
      </c>
      <c r="B9" s="14" t="s">
        <v>79</v>
      </c>
      <c r="C9" s="14">
        <v>58</v>
      </c>
      <c r="D9" s="14" t="b">
        <f t="shared" si="0"/>
        <v>0</v>
      </c>
    </row>
    <row r="10" spans="1:4" x14ac:dyDescent="0.35">
      <c r="A10" s="14" t="s">
        <v>81</v>
      </c>
      <c r="B10" s="14" t="s">
        <v>79</v>
      </c>
      <c r="C10" s="14">
        <v>78</v>
      </c>
      <c r="D10" s="14" t="b">
        <f t="shared" si="0"/>
        <v>0</v>
      </c>
    </row>
    <row r="11" spans="1:4" x14ac:dyDescent="0.35">
      <c r="A11" t="s">
        <v>82</v>
      </c>
    </row>
    <row r="21" spans="6:6" x14ac:dyDescent="0.35">
      <c r="F21" s="48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selection activeCell="E1" sqref="E1"/>
    </sheetView>
  </sheetViews>
  <sheetFormatPr defaultRowHeight="14.5" x14ac:dyDescent="0.35"/>
  <cols>
    <col min="1" max="1" width="10.08984375" bestFit="1" customWidth="1"/>
    <col min="2" max="2" width="16.26953125" bestFit="1" customWidth="1"/>
    <col min="3" max="3" width="9.6328125" bestFit="1" customWidth="1"/>
  </cols>
  <sheetData>
    <row r="1" spans="1:8" ht="18.5" x14ac:dyDescent="0.45">
      <c r="A1" s="51" t="s">
        <v>28</v>
      </c>
      <c r="B1" s="6" t="s">
        <v>0</v>
      </c>
      <c r="C1" s="6" t="s">
        <v>13</v>
      </c>
      <c r="E1" t="s">
        <v>156</v>
      </c>
    </row>
    <row r="2" spans="1:8" x14ac:dyDescent="0.35">
      <c r="A2" s="52">
        <v>45292</v>
      </c>
      <c r="B2" s="2" t="s">
        <v>10</v>
      </c>
      <c r="C2" s="54">
        <v>180</v>
      </c>
      <c r="H2">
        <f>SUM(lock!$C$2:$C$11)</f>
        <v>36823</v>
      </c>
    </row>
    <row r="3" spans="1:8" x14ac:dyDescent="0.35">
      <c r="A3" s="52">
        <v>45293</v>
      </c>
      <c r="B3" s="2" t="s">
        <v>83</v>
      </c>
      <c r="C3" s="54">
        <v>220</v>
      </c>
    </row>
    <row r="4" spans="1:8" x14ac:dyDescent="0.35">
      <c r="A4" s="52">
        <v>45294</v>
      </c>
      <c r="B4" s="2" t="s">
        <v>84</v>
      </c>
      <c r="C4" s="54">
        <v>170</v>
      </c>
    </row>
    <row r="5" spans="1:8" x14ac:dyDescent="0.35">
      <c r="A5" s="52">
        <v>45295</v>
      </c>
      <c r="B5" s="2" t="s">
        <v>85</v>
      </c>
      <c r="C5" s="54">
        <v>250</v>
      </c>
    </row>
    <row r="6" spans="1:8" x14ac:dyDescent="0.35">
      <c r="A6" s="52">
        <v>45296</v>
      </c>
      <c r="B6" s="2" t="s">
        <v>83</v>
      </c>
      <c r="C6" s="54">
        <v>130</v>
      </c>
    </row>
    <row r="7" spans="1:8" x14ac:dyDescent="0.35">
      <c r="A7" s="52">
        <v>45297</v>
      </c>
      <c r="B7" s="2" t="s">
        <v>84</v>
      </c>
      <c r="C7" s="54">
        <v>370</v>
      </c>
    </row>
    <row r="8" spans="1:8" x14ac:dyDescent="0.35">
      <c r="A8" s="52">
        <v>45298</v>
      </c>
      <c r="B8" s="2" t="s">
        <v>85</v>
      </c>
      <c r="C8" s="54">
        <v>280</v>
      </c>
      <c r="E8">
        <f>SUM('[1]9'!$D$4:$D$13)</f>
        <v>36723</v>
      </c>
    </row>
    <row r="9" spans="1:8" x14ac:dyDescent="0.35">
      <c r="A9" s="52">
        <v>45299</v>
      </c>
      <c r="B9" s="2" t="s">
        <v>83</v>
      </c>
      <c r="C9" s="54">
        <v>360</v>
      </c>
    </row>
    <row r="10" spans="1:8" x14ac:dyDescent="0.35">
      <c r="A10" s="53">
        <v>45300</v>
      </c>
      <c r="B10" s="2" t="s">
        <v>84</v>
      </c>
      <c r="C10" s="54">
        <v>520</v>
      </c>
    </row>
    <row r="11" spans="1:8" x14ac:dyDescent="0.35">
      <c r="A11" s="52">
        <v>45300</v>
      </c>
      <c r="B11" s="14" t="s">
        <v>84</v>
      </c>
      <c r="C11" s="14">
        <v>34343</v>
      </c>
    </row>
    <row r="12" spans="1:8" x14ac:dyDescent="0.35">
      <c r="C12">
        <f>SUM(lock!$C$2:$C$11)</f>
        <v>36823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G11" sqref="G11"/>
    </sheetView>
  </sheetViews>
  <sheetFormatPr defaultRowHeight="14.5" x14ac:dyDescent="0.35"/>
  <cols>
    <col min="1" max="1" width="14.08984375" bestFit="1" customWidth="1"/>
    <col min="2" max="2" width="6.26953125" bestFit="1" customWidth="1"/>
    <col min="4" max="4" width="30.1796875" bestFit="1" customWidth="1"/>
    <col min="5" max="5" width="15" bestFit="1" customWidth="1"/>
    <col min="6" max="6" width="12.7265625" bestFit="1" customWidth="1"/>
  </cols>
  <sheetData>
    <row r="1" spans="1:7" x14ac:dyDescent="0.35">
      <c r="A1" s="56" t="s">
        <v>66</v>
      </c>
      <c r="B1" s="56" t="s">
        <v>67</v>
      </c>
      <c r="C1" s="56" t="s">
        <v>68</v>
      </c>
      <c r="D1" s="56" t="s">
        <v>69</v>
      </c>
      <c r="E1" s="56" t="s">
        <v>95</v>
      </c>
      <c r="F1" s="56" t="s">
        <v>96</v>
      </c>
      <c r="G1" s="56" t="s">
        <v>97</v>
      </c>
    </row>
    <row r="2" spans="1:7" x14ac:dyDescent="0.35">
      <c r="A2" t="s">
        <v>70</v>
      </c>
      <c r="B2" t="s">
        <v>71</v>
      </c>
      <c r="C2">
        <v>45</v>
      </c>
      <c r="E2" t="b">
        <f>AND(B2="Grass",C2&gt;70)</f>
        <v>0</v>
      </c>
      <c r="F2" t="str">
        <f>IF(AND(B2="Fire",C2&gt;70),"yes","no")</f>
        <v>no</v>
      </c>
      <c r="G2" t="str">
        <f>IF(AND(B2="Grass",C2&lt;60),"yes","no")</f>
        <v>yes</v>
      </c>
    </row>
    <row r="3" spans="1:7" x14ac:dyDescent="0.35">
      <c r="A3" t="s">
        <v>72</v>
      </c>
      <c r="B3" t="s">
        <v>71</v>
      </c>
      <c r="C3">
        <v>60</v>
      </c>
      <c r="E3" t="b">
        <f t="shared" ref="E3:E10" si="0">AND(B3="Grass",C3&gt;70)</f>
        <v>0</v>
      </c>
      <c r="F3" t="str">
        <f t="shared" ref="F3:F10" si="1">IF(AND(B3="Fire",C3&gt;70),"yes","no")</f>
        <v>no</v>
      </c>
      <c r="G3" t="str">
        <f t="shared" ref="G3:G10" si="2">IF(AND(B3="Grass",C3&lt;60),"yes","no")</f>
        <v>no</v>
      </c>
    </row>
    <row r="4" spans="1:7" x14ac:dyDescent="0.35">
      <c r="A4" t="s">
        <v>73</v>
      </c>
      <c r="B4" t="s">
        <v>71</v>
      </c>
      <c r="C4">
        <v>80</v>
      </c>
      <c r="E4" t="b">
        <f t="shared" si="0"/>
        <v>1</v>
      </c>
      <c r="F4" t="str">
        <f t="shared" si="1"/>
        <v>no</v>
      </c>
      <c r="G4" t="str">
        <f t="shared" si="2"/>
        <v>no</v>
      </c>
    </row>
    <row r="5" spans="1:7" x14ac:dyDescent="0.35">
      <c r="A5" t="s">
        <v>74</v>
      </c>
      <c r="B5" t="s">
        <v>75</v>
      </c>
      <c r="C5">
        <v>65</v>
      </c>
      <c r="E5" t="b">
        <f t="shared" si="0"/>
        <v>0</v>
      </c>
      <c r="F5" t="str">
        <f t="shared" si="1"/>
        <v>no</v>
      </c>
      <c r="G5" t="str">
        <f t="shared" si="2"/>
        <v>no</v>
      </c>
    </row>
    <row r="6" spans="1:7" x14ac:dyDescent="0.35">
      <c r="A6" t="s">
        <v>76</v>
      </c>
      <c r="B6" t="s">
        <v>75</v>
      </c>
      <c r="C6">
        <v>80</v>
      </c>
      <c r="E6" t="b">
        <f t="shared" si="0"/>
        <v>0</v>
      </c>
      <c r="F6" t="str">
        <f t="shared" si="1"/>
        <v>yes</v>
      </c>
      <c r="G6" t="str">
        <f t="shared" si="2"/>
        <v>no</v>
      </c>
    </row>
    <row r="7" spans="1:7" x14ac:dyDescent="0.35">
      <c r="A7" t="s">
        <v>77</v>
      </c>
      <c r="B7" t="s">
        <v>75</v>
      </c>
      <c r="C7">
        <v>100</v>
      </c>
      <c r="E7" t="b">
        <f t="shared" si="0"/>
        <v>0</v>
      </c>
      <c r="F7" t="str">
        <f t="shared" si="1"/>
        <v>yes</v>
      </c>
      <c r="G7" t="str">
        <f t="shared" si="2"/>
        <v>no</v>
      </c>
    </row>
    <row r="8" spans="1:7" x14ac:dyDescent="0.35">
      <c r="A8" t="s">
        <v>78</v>
      </c>
      <c r="B8" t="s">
        <v>79</v>
      </c>
      <c r="C8">
        <v>43</v>
      </c>
      <c r="E8" t="b">
        <f t="shared" si="0"/>
        <v>0</v>
      </c>
      <c r="F8" t="str">
        <f t="shared" si="1"/>
        <v>no</v>
      </c>
      <c r="G8" t="str">
        <f t="shared" si="2"/>
        <v>no</v>
      </c>
    </row>
    <row r="9" spans="1:7" x14ac:dyDescent="0.35">
      <c r="A9" t="s">
        <v>80</v>
      </c>
      <c r="B9" t="s">
        <v>79</v>
      </c>
      <c r="C9">
        <v>58</v>
      </c>
      <c r="E9" t="b">
        <f t="shared" si="0"/>
        <v>0</v>
      </c>
      <c r="F9" t="str">
        <f t="shared" si="1"/>
        <v>no</v>
      </c>
      <c r="G9" t="str">
        <f t="shared" si="2"/>
        <v>no</v>
      </c>
    </row>
    <row r="10" spans="1:7" x14ac:dyDescent="0.35">
      <c r="A10" t="s">
        <v>81</v>
      </c>
      <c r="B10" t="s">
        <v>79</v>
      </c>
      <c r="C10">
        <v>78</v>
      </c>
      <c r="E10" t="b">
        <f t="shared" si="0"/>
        <v>0</v>
      </c>
      <c r="F10" t="str">
        <f t="shared" si="1"/>
        <v>no</v>
      </c>
      <c r="G10" t="str">
        <f t="shared" si="2"/>
        <v>no</v>
      </c>
    </row>
    <row r="11" spans="1:7" x14ac:dyDescent="0.35">
      <c r="A11" t="s">
        <v>82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topLeftCell="A12" zoomScale="96" zoomScaleNormal="140" workbookViewId="0">
      <selection activeCell="E22" sqref="E22"/>
    </sheetView>
  </sheetViews>
  <sheetFormatPr defaultRowHeight="14.5" x14ac:dyDescent="0.35"/>
  <cols>
    <col min="1" max="1" width="16.26953125" bestFit="1" customWidth="1"/>
    <col min="3" max="3" width="9.6328125" bestFit="1" customWidth="1"/>
    <col min="4" max="4" width="13.08984375" bestFit="1" customWidth="1"/>
    <col min="5" max="5" width="36.453125" bestFit="1" customWidth="1"/>
    <col min="7" max="7" width="16.26953125" bestFit="1" customWidth="1"/>
    <col min="8" max="8" width="34" bestFit="1" customWidth="1"/>
    <col min="9" max="9" width="9.6328125" bestFit="1" customWidth="1"/>
  </cols>
  <sheetData>
    <row r="1" spans="1:5" ht="18.5" x14ac:dyDescent="0.45">
      <c r="A1" s="1" t="s">
        <v>0</v>
      </c>
      <c r="B1" s="6" t="s">
        <v>1</v>
      </c>
      <c r="C1" s="6" t="s">
        <v>13</v>
      </c>
    </row>
    <row r="2" spans="1:5" x14ac:dyDescent="0.35">
      <c r="A2" s="2" t="s">
        <v>86</v>
      </c>
      <c r="B2" s="2" t="s">
        <v>7</v>
      </c>
      <c r="C2" s="2">
        <v>19500</v>
      </c>
    </row>
    <row r="3" spans="1:5" x14ac:dyDescent="0.35">
      <c r="A3" s="2" t="s">
        <v>86</v>
      </c>
      <c r="B3" s="2" t="s">
        <v>7</v>
      </c>
      <c r="C3" s="2">
        <v>28500</v>
      </c>
    </row>
    <row r="4" spans="1:5" x14ac:dyDescent="0.35">
      <c r="A4" s="2" t="s">
        <v>86</v>
      </c>
      <c r="B4" s="2" t="s">
        <v>7</v>
      </c>
      <c r="C4" s="2">
        <v>27000</v>
      </c>
    </row>
    <row r="5" spans="1:5" x14ac:dyDescent="0.35">
      <c r="A5" s="2" t="s">
        <v>87</v>
      </c>
      <c r="B5" s="2" t="s">
        <v>9</v>
      </c>
      <c r="C5" s="2">
        <v>6200</v>
      </c>
    </row>
    <row r="6" spans="1:5" x14ac:dyDescent="0.35">
      <c r="A6" s="2" t="s">
        <v>87</v>
      </c>
      <c r="B6" s="2" t="s">
        <v>9</v>
      </c>
      <c r="C6" s="2">
        <v>9400</v>
      </c>
    </row>
    <row r="7" spans="1:5" x14ac:dyDescent="0.35">
      <c r="A7" s="2" t="s">
        <v>87</v>
      </c>
      <c r="B7" s="2" t="s">
        <v>9</v>
      </c>
      <c r="C7" s="2">
        <v>6800</v>
      </c>
    </row>
    <row r="8" spans="1:5" x14ac:dyDescent="0.35">
      <c r="A8" s="2" t="s">
        <v>88</v>
      </c>
      <c r="B8" s="2" t="s">
        <v>11</v>
      </c>
      <c r="C8" s="2">
        <v>31500</v>
      </c>
    </row>
    <row r="9" spans="1:5" x14ac:dyDescent="0.35">
      <c r="A9" s="2" t="s">
        <v>88</v>
      </c>
      <c r="B9" s="2" t="s">
        <v>11</v>
      </c>
      <c r="C9" s="2">
        <v>7200</v>
      </c>
    </row>
    <row r="11" spans="1:5" x14ac:dyDescent="0.35">
      <c r="A11" s="48" t="s">
        <v>94</v>
      </c>
      <c r="B11">
        <f>AVERAGE(C2:C9)</f>
        <v>17012.5</v>
      </c>
    </row>
    <row r="13" spans="1:5" ht="18.5" x14ac:dyDescent="0.45">
      <c r="A13" s="55" t="s">
        <v>91</v>
      </c>
      <c r="B13" s="47" t="s">
        <v>89</v>
      </c>
      <c r="C13" s="47" t="s">
        <v>90</v>
      </c>
      <c r="E13" s="47" t="s">
        <v>93</v>
      </c>
    </row>
    <row r="14" spans="1:5" x14ac:dyDescent="0.35">
      <c r="B14" t="s">
        <v>99</v>
      </c>
      <c r="C14">
        <f>AVERAGEIF(A2:A9,B14,C2:C9)</f>
        <v>7466.666666666667</v>
      </c>
      <c r="E14" t="str">
        <f ca="1">_xlfn.FORMULATEXT(C14)</f>
        <v>=AVERAGEIF(A2:A9,B14,C2:C9)</v>
      </c>
    </row>
    <row r="16" spans="1:5" ht="18.5" x14ac:dyDescent="0.45">
      <c r="A16" s="48" t="s">
        <v>92</v>
      </c>
      <c r="B16" s="1" t="s">
        <v>0</v>
      </c>
      <c r="C16" s="6" t="s">
        <v>1</v>
      </c>
      <c r="D16" s="6" t="s">
        <v>13</v>
      </c>
    </row>
    <row r="17" spans="1:8" x14ac:dyDescent="0.35">
      <c r="B17" t="s">
        <v>86</v>
      </c>
      <c r="C17" t="s">
        <v>98</v>
      </c>
      <c r="D17">
        <f>AVERAGEIFS(C2:C9,A2:A9,B17,B2:B9,C17)</f>
        <v>25000</v>
      </c>
      <c r="E17" t="str">
        <f ca="1">_xlfn.FORMULATEXT(D17)</f>
        <v>=AVERAGEIFS(C2:C9,A2:A9,B17,B2:B9,C17)</v>
      </c>
    </row>
    <row r="20" spans="1:8" ht="18.5" x14ac:dyDescent="0.45">
      <c r="A20" s="1" t="s">
        <v>66</v>
      </c>
      <c r="B20" s="1" t="s">
        <v>67</v>
      </c>
      <c r="C20" s="1" t="s">
        <v>100</v>
      </c>
      <c r="D20" s="1" t="s">
        <v>101</v>
      </c>
    </row>
    <row r="21" spans="1:8" ht="16" x14ac:dyDescent="0.4">
      <c r="A21" t="s">
        <v>102</v>
      </c>
      <c r="B21" t="s">
        <v>71</v>
      </c>
      <c r="C21">
        <v>49</v>
      </c>
      <c r="D21">
        <v>1</v>
      </c>
      <c r="F21" s="57" t="s">
        <v>103</v>
      </c>
      <c r="G21" s="57" t="s">
        <v>104</v>
      </c>
      <c r="H21" s="57" t="s">
        <v>105</v>
      </c>
    </row>
    <row r="22" spans="1:8" x14ac:dyDescent="0.35">
      <c r="A22" t="s">
        <v>106</v>
      </c>
      <c r="B22" t="s">
        <v>71</v>
      </c>
      <c r="C22">
        <v>63</v>
      </c>
      <c r="D22">
        <v>1</v>
      </c>
      <c r="F22" t="s">
        <v>71</v>
      </c>
      <c r="G22">
        <v>1</v>
      </c>
      <c r="H22">
        <f>AVERAGEIFS(C21:C32,B21:B32,F22,D21:D32,G22)</f>
        <v>65</v>
      </c>
    </row>
    <row r="23" spans="1:8" x14ac:dyDescent="0.35">
      <c r="A23" t="s">
        <v>107</v>
      </c>
      <c r="B23" t="s">
        <v>71</v>
      </c>
      <c r="C23">
        <v>83</v>
      </c>
      <c r="D23">
        <v>1</v>
      </c>
      <c r="F23" t="s">
        <v>75</v>
      </c>
      <c r="G23">
        <v>1</v>
      </c>
      <c r="H23">
        <f t="shared" ref="H23:H25" si="0">AVERAGEIFS(C22:C33,B22:B33,F23,D22:D33,G23)</f>
        <v>59.666666666666664</v>
      </c>
    </row>
    <row r="24" spans="1:8" x14ac:dyDescent="0.35">
      <c r="A24" t="s">
        <v>108</v>
      </c>
      <c r="B24" t="s">
        <v>75</v>
      </c>
      <c r="C24">
        <v>43</v>
      </c>
      <c r="D24">
        <v>1</v>
      </c>
      <c r="F24" t="s">
        <v>71</v>
      </c>
      <c r="G24">
        <v>2</v>
      </c>
      <c r="H24">
        <f t="shared" si="0"/>
        <v>81.666666666666671</v>
      </c>
    </row>
    <row r="25" spans="1:8" x14ac:dyDescent="0.35">
      <c r="A25" t="s">
        <v>109</v>
      </c>
      <c r="B25" t="s">
        <v>75</v>
      </c>
      <c r="C25">
        <v>58</v>
      </c>
      <c r="D25">
        <v>1</v>
      </c>
      <c r="F25" t="s">
        <v>75</v>
      </c>
      <c r="G25">
        <v>2</v>
      </c>
      <c r="H25">
        <f t="shared" si="0"/>
        <v>60.333333333333336</v>
      </c>
    </row>
    <row r="26" spans="1:8" x14ac:dyDescent="0.35">
      <c r="A26" t="s">
        <v>110</v>
      </c>
      <c r="B26" t="s">
        <v>75</v>
      </c>
      <c r="C26">
        <v>78</v>
      </c>
      <c r="D26">
        <v>1</v>
      </c>
    </row>
    <row r="27" spans="1:8" x14ac:dyDescent="0.35">
      <c r="A27" t="s">
        <v>111</v>
      </c>
      <c r="B27" t="s">
        <v>71</v>
      </c>
      <c r="C27">
        <v>65</v>
      </c>
      <c r="D27">
        <v>2</v>
      </c>
    </row>
    <row r="28" spans="1:8" x14ac:dyDescent="0.35">
      <c r="A28" t="s">
        <v>112</v>
      </c>
      <c r="B28" t="s">
        <v>71</v>
      </c>
      <c r="C28">
        <v>80</v>
      </c>
      <c r="D28">
        <v>2</v>
      </c>
    </row>
    <row r="29" spans="1:8" x14ac:dyDescent="0.35">
      <c r="A29" t="s">
        <v>113</v>
      </c>
      <c r="B29" t="s">
        <v>71</v>
      </c>
      <c r="C29">
        <v>100</v>
      </c>
      <c r="D29">
        <v>2</v>
      </c>
    </row>
    <row r="30" spans="1:8" x14ac:dyDescent="0.35">
      <c r="A30" t="s">
        <v>114</v>
      </c>
      <c r="B30" t="s">
        <v>75</v>
      </c>
      <c r="C30">
        <v>43</v>
      </c>
      <c r="D30">
        <v>2</v>
      </c>
    </row>
    <row r="31" spans="1:8" x14ac:dyDescent="0.35">
      <c r="A31" t="s">
        <v>115</v>
      </c>
      <c r="B31" t="s">
        <v>75</v>
      </c>
      <c r="C31">
        <v>58</v>
      </c>
      <c r="D31">
        <v>2</v>
      </c>
    </row>
    <row r="32" spans="1:8" x14ac:dyDescent="0.35">
      <c r="A32" t="s">
        <v>116</v>
      </c>
      <c r="B32" t="s">
        <v>75</v>
      </c>
      <c r="C32">
        <v>80</v>
      </c>
      <c r="D32">
        <v>2</v>
      </c>
    </row>
    <row r="33" spans="1:1" x14ac:dyDescent="0.35">
      <c r="A33" t="s">
        <v>82</v>
      </c>
    </row>
  </sheetData>
  <sortState ref="A2:C9">
    <sortCondition ref="A2"/>
  </sortState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topLeftCell="A2" workbookViewId="0">
      <selection activeCell="G6" sqref="G6"/>
    </sheetView>
  </sheetViews>
  <sheetFormatPr defaultRowHeight="14.5" x14ac:dyDescent="0.35"/>
  <cols>
    <col min="1" max="1" width="12.90625" bestFit="1" customWidth="1"/>
    <col min="2" max="2" width="8.90625" customWidth="1"/>
    <col min="3" max="3" width="10.26953125" bestFit="1" customWidth="1"/>
  </cols>
  <sheetData>
    <row r="1" spans="1:5" x14ac:dyDescent="0.35">
      <c r="A1" s="59" t="s">
        <v>145</v>
      </c>
      <c r="B1" s="59"/>
      <c r="C1" s="59"/>
    </row>
    <row r="4" spans="1:5" ht="15.5" x14ac:dyDescent="0.35">
      <c r="A4" s="58" t="s">
        <v>66</v>
      </c>
      <c r="B4" s="58" t="s">
        <v>67</v>
      </c>
      <c r="C4" s="58" t="s">
        <v>117</v>
      </c>
      <c r="E4" t="str">
        <f>CONCATENATE(A5,"","and",F2,A6)</f>
        <v xml:space="preserve">    Mankeyand    Poliwrath</v>
      </c>
    </row>
    <row r="5" spans="1:5" x14ac:dyDescent="0.35">
      <c r="A5" t="s">
        <v>118</v>
      </c>
      <c r="B5" t="s">
        <v>119</v>
      </c>
      <c r="C5">
        <v>305</v>
      </c>
      <c r="E5" t="e">
        <f ca="1">CONCAT(A5,"and",A6)</f>
        <v>#NAME?</v>
      </c>
    </row>
    <row r="6" spans="1:5" x14ac:dyDescent="0.35">
      <c r="A6" t="s">
        <v>120</v>
      </c>
      <c r="B6" t="s">
        <v>79</v>
      </c>
      <c r="C6">
        <v>510</v>
      </c>
    </row>
    <row r="7" spans="1:5" x14ac:dyDescent="0.35">
      <c r="A7" t="s">
        <v>121</v>
      </c>
      <c r="B7" t="s">
        <v>71</v>
      </c>
      <c r="C7">
        <v>490</v>
      </c>
    </row>
    <row r="8" spans="1:5" x14ac:dyDescent="0.35">
      <c r="A8" t="s">
        <v>122</v>
      </c>
      <c r="B8" t="s">
        <v>79</v>
      </c>
      <c r="C8">
        <v>335</v>
      </c>
      <c r="E8" s="60" t="e">
        <f>CONCAT</f>
        <v>#NAME?</v>
      </c>
    </row>
    <row r="9" spans="1:5" x14ac:dyDescent="0.35">
      <c r="A9" t="s">
        <v>123</v>
      </c>
      <c r="B9" t="s">
        <v>124</v>
      </c>
      <c r="C9">
        <v>465</v>
      </c>
    </row>
    <row r="10" spans="1:5" x14ac:dyDescent="0.35">
      <c r="A10" t="s">
        <v>125</v>
      </c>
      <c r="B10" t="s">
        <v>79</v>
      </c>
      <c r="C10">
        <v>475</v>
      </c>
    </row>
    <row r="11" spans="1:5" x14ac:dyDescent="0.35">
      <c r="A11" t="s">
        <v>126</v>
      </c>
      <c r="B11" t="s">
        <v>79</v>
      </c>
      <c r="C11">
        <v>525</v>
      </c>
    </row>
    <row r="12" spans="1:5" x14ac:dyDescent="0.35">
      <c r="A12" t="s">
        <v>127</v>
      </c>
      <c r="B12" t="s">
        <v>128</v>
      </c>
      <c r="C12">
        <v>385</v>
      </c>
    </row>
    <row r="13" spans="1:5" x14ac:dyDescent="0.35">
      <c r="A13" t="s">
        <v>129</v>
      </c>
      <c r="B13" t="s">
        <v>130</v>
      </c>
      <c r="C13">
        <v>420</v>
      </c>
    </row>
    <row r="14" spans="1:5" x14ac:dyDescent="0.35">
      <c r="A14" t="s">
        <v>131</v>
      </c>
      <c r="B14" t="s">
        <v>132</v>
      </c>
      <c r="C14">
        <v>349</v>
      </c>
    </row>
    <row r="15" spans="1:5" x14ac:dyDescent="0.35">
      <c r="A15" t="s">
        <v>133</v>
      </c>
      <c r="B15" t="s">
        <v>132</v>
      </c>
      <c r="C15">
        <v>253</v>
      </c>
    </row>
    <row r="16" spans="1:5" x14ac:dyDescent="0.35">
      <c r="A16" t="s">
        <v>134</v>
      </c>
      <c r="B16" t="s">
        <v>135</v>
      </c>
      <c r="C16">
        <v>395</v>
      </c>
    </row>
    <row r="17" spans="1:3" x14ac:dyDescent="0.35">
      <c r="A17" t="s">
        <v>136</v>
      </c>
      <c r="B17" t="s">
        <v>132</v>
      </c>
      <c r="C17">
        <v>310</v>
      </c>
    </row>
    <row r="18" spans="1:3" x14ac:dyDescent="0.35">
      <c r="A18" t="s">
        <v>137</v>
      </c>
      <c r="B18" t="s">
        <v>79</v>
      </c>
      <c r="C18">
        <v>475</v>
      </c>
    </row>
    <row r="19" spans="1:3" x14ac:dyDescent="0.35">
      <c r="A19" t="s">
        <v>138</v>
      </c>
      <c r="B19" t="s">
        <v>139</v>
      </c>
      <c r="C19">
        <v>505</v>
      </c>
    </row>
    <row r="20" spans="1:3" x14ac:dyDescent="0.35">
      <c r="A20" t="s">
        <v>140</v>
      </c>
      <c r="B20" t="s">
        <v>119</v>
      </c>
      <c r="C20">
        <v>455</v>
      </c>
    </row>
    <row r="21" spans="1:3" x14ac:dyDescent="0.35">
      <c r="A21" t="s">
        <v>109</v>
      </c>
      <c r="B21" t="s">
        <v>75</v>
      </c>
      <c r="C21">
        <v>405</v>
      </c>
    </row>
    <row r="22" spans="1:3" x14ac:dyDescent="0.35">
      <c r="A22" t="s">
        <v>141</v>
      </c>
      <c r="B22" t="s">
        <v>139</v>
      </c>
      <c r="C22">
        <v>438</v>
      </c>
    </row>
    <row r="23" spans="1:3" x14ac:dyDescent="0.35">
      <c r="A23" t="s">
        <v>142</v>
      </c>
      <c r="B23" t="s">
        <v>143</v>
      </c>
      <c r="C23">
        <v>310</v>
      </c>
    </row>
    <row r="24" spans="1:3" x14ac:dyDescent="0.35">
      <c r="A24" t="s">
        <v>144</v>
      </c>
      <c r="B24" t="s">
        <v>79</v>
      </c>
      <c r="C24">
        <v>200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"/>
  <sheetViews>
    <sheetView topLeftCell="A6" zoomScaleNormal="100" workbookViewId="0">
      <selection activeCell="O17" sqref="O17"/>
    </sheetView>
  </sheetViews>
  <sheetFormatPr defaultRowHeight="14.5" x14ac:dyDescent="0.35"/>
  <cols>
    <col min="1" max="1" width="12.90625" bestFit="1" customWidth="1"/>
    <col min="2" max="2" width="7.90625" bestFit="1" customWidth="1"/>
    <col min="10" max="10" width="12.90625" bestFit="1" customWidth="1"/>
  </cols>
  <sheetData>
    <row r="1" spans="1:16" x14ac:dyDescent="0.35">
      <c r="A1">
        <f>COUNT("only number")</f>
        <v>0</v>
      </c>
      <c r="B1" s="61" t="str">
        <f ca="1">_xlfn.FORMULATEXT(A1)</f>
        <v>=COUNT("only number")</v>
      </c>
      <c r="C1" s="61"/>
      <c r="D1" s="61"/>
    </row>
    <row r="3" spans="1:16" ht="15.5" x14ac:dyDescent="0.35">
      <c r="A3" s="58" t="s">
        <v>66</v>
      </c>
      <c r="B3" s="58" t="s">
        <v>67</v>
      </c>
      <c r="C3" s="58" t="s">
        <v>146</v>
      </c>
      <c r="D3" s="58" t="s">
        <v>117</v>
      </c>
    </row>
    <row r="4" spans="1:16" x14ac:dyDescent="0.35">
      <c r="A4" t="s">
        <v>134</v>
      </c>
      <c r="B4" t="s">
        <v>135</v>
      </c>
      <c r="C4" t="s">
        <v>139</v>
      </c>
      <c r="D4">
        <v>395</v>
      </c>
      <c r="G4" s="48" t="s">
        <v>154</v>
      </c>
      <c r="J4" s="64" t="s">
        <v>155</v>
      </c>
    </row>
    <row r="5" spans="1:16" x14ac:dyDescent="0.35">
      <c r="A5" t="s">
        <v>129</v>
      </c>
      <c r="B5" t="s">
        <v>130</v>
      </c>
      <c r="D5">
        <v>420</v>
      </c>
      <c r="J5" s="63" t="s">
        <v>134</v>
      </c>
      <c r="K5" t="s">
        <v>157</v>
      </c>
      <c r="L5">
        <v>1</v>
      </c>
      <c r="N5" s="62" t="s">
        <v>161</v>
      </c>
      <c r="O5" s="62" t="s">
        <v>162</v>
      </c>
      <c r="P5" s="62" t="s">
        <v>163</v>
      </c>
    </row>
    <row r="6" spans="1:16" x14ac:dyDescent="0.35">
      <c r="A6" t="s">
        <v>123</v>
      </c>
      <c r="B6" t="s">
        <v>124</v>
      </c>
      <c r="C6" t="s">
        <v>147</v>
      </c>
      <c r="D6">
        <v>465</v>
      </c>
      <c r="G6" s="62" t="s">
        <v>119</v>
      </c>
      <c r="H6" s="14">
        <f>COUNTIF($B$4:B23,G6)</f>
        <v>2</v>
      </c>
      <c r="J6" s="63" t="s">
        <v>129</v>
      </c>
      <c r="K6" t="s">
        <v>158</v>
      </c>
      <c r="L6">
        <v>2</v>
      </c>
      <c r="N6" t="s">
        <v>157</v>
      </c>
      <c r="O6">
        <v>1</v>
      </c>
      <c r="P6">
        <f>COUNTIFS(K5:K34,N6,L5:L34,O6)</f>
        <v>3</v>
      </c>
    </row>
    <row r="7" spans="1:16" x14ac:dyDescent="0.35">
      <c r="A7" t="s">
        <v>118</v>
      </c>
      <c r="B7" t="s">
        <v>119</v>
      </c>
      <c r="D7">
        <v>305</v>
      </c>
      <c r="G7" s="62" t="s">
        <v>79</v>
      </c>
      <c r="H7" s="14">
        <f>COUNTIF($B$4:B24,G7)</f>
        <v>6</v>
      </c>
      <c r="J7" s="63" t="s">
        <v>123</v>
      </c>
      <c r="K7" t="s">
        <v>159</v>
      </c>
      <c r="L7">
        <v>3</v>
      </c>
      <c r="N7" t="s">
        <v>157</v>
      </c>
      <c r="O7">
        <v>2</v>
      </c>
      <c r="P7">
        <f>COUNTIFS(K6:K35,N7,L6:L35,O7)</f>
        <v>2</v>
      </c>
    </row>
    <row r="8" spans="1:16" x14ac:dyDescent="0.35">
      <c r="A8" t="s">
        <v>140</v>
      </c>
      <c r="B8" t="s">
        <v>119</v>
      </c>
      <c r="D8">
        <v>455</v>
      </c>
      <c r="G8" s="62" t="s">
        <v>71</v>
      </c>
      <c r="H8" s="14">
        <f>COUNTIF($B$4:B25,G8)</f>
        <v>1</v>
      </c>
      <c r="J8" s="63" t="s">
        <v>118</v>
      </c>
      <c r="K8" t="s">
        <v>160</v>
      </c>
      <c r="L8">
        <v>1</v>
      </c>
      <c r="N8" t="s">
        <v>157</v>
      </c>
      <c r="O8">
        <v>3</v>
      </c>
      <c r="P8">
        <f>COUNTIFS(K7:K36,N8,L7:L36,O8)</f>
        <v>3</v>
      </c>
    </row>
    <row r="9" spans="1:16" x14ac:dyDescent="0.35">
      <c r="A9" t="s">
        <v>109</v>
      </c>
      <c r="B9" t="s">
        <v>75</v>
      </c>
      <c r="D9">
        <v>405</v>
      </c>
      <c r="G9" s="62" t="s">
        <v>79</v>
      </c>
      <c r="H9" s="14">
        <f>COUNTIF($B$4:B26,G9)</f>
        <v>6</v>
      </c>
      <c r="J9" s="63" t="s">
        <v>140</v>
      </c>
      <c r="K9" t="s">
        <v>157</v>
      </c>
      <c r="L9">
        <v>2</v>
      </c>
    </row>
    <row r="10" spans="1:16" x14ac:dyDescent="0.35">
      <c r="A10" t="s">
        <v>142</v>
      </c>
      <c r="B10" t="s">
        <v>143</v>
      </c>
      <c r="C10" t="s">
        <v>139</v>
      </c>
      <c r="D10">
        <v>310</v>
      </c>
      <c r="G10" s="62" t="s">
        <v>124</v>
      </c>
      <c r="H10" s="14">
        <f>COUNTIF($B$4:B27,G10)</f>
        <v>1</v>
      </c>
      <c r="J10" s="63" t="s">
        <v>109</v>
      </c>
      <c r="K10" t="s">
        <v>158</v>
      </c>
      <c r="L10">
        <v>3</v>
      </c>
    </row>
    <row r="11" spans="1:16" x14ac:dyDescent="0.35">
      <c r="A11" t="s">
        <v>121</v>
      </c>
      <c r="B11" t="s">
        <v>71</v>
      </c>
      <c r="C11" t="s">
        <v>139</v>
      </c>
      <c r="D11">
        <v>490</v>
      </c>
      <c r="G11" s="62" t="s">
        <v>128</v>
      </c>
      <c r="H11" s="14">
        <f ca="1">COUNTIF($B$4:B28,G11)</f>
        <v>1</v>
      </c>
      <c r="J11" s="63" t="s">
        <v>142</v>
      </c>
      <c r="K11" t="s">
        <v>159</v>
      </c>
      <c r="L11">
        <v>1</v>
      </c>
    </row>
    <row r="12" spans="1:16" x14ac:dyDescent="0.35">
      <c r="A12" t="s">
        <v>131</v>
      </c>
      <c r="B12" t="s">
        <v>132</v>
      </c>
      <c r="C12" t="s">
        <v>150</v>
      </c>
      <c r="D12">
        <v>349</v>
      </c>
      <c r="G12" s="62" t="s">
        <v>130</v>
      </c>
      <c r="H12" s="14">
        <f ca="1">COUNTIF($B$4:B29,G12)</f>
        <v>1</v>
      </c>
      <c r="J12" s="63" t="s">
        <v>121</v>
      </c>
      <c r="K12" t="s">
        <v>160</v>
      </c>
      <c r="L12">
        <v>2</v>
      </c>
    </row>
    <row r="13" spans="1:16" x14ac:dyDescent="0.35">
      <c r="A13" t="s">
        <v>133</v>
      </c>
      <c r="B13" t="s">
        <v>132</v>
      </c>
      <c r="D13">
        <v>253</v>
      </c>
      <c r="G13" s="62" t="s">
        <v>132</v>
      </c>
      <c r="H13" s="14">
        <f ca="1">COUNTIF($B$4:B30,G13)</f>
        <v>3</v>
      </c>
      <c r="J13" s="63" t="s">
        <v>131</v>
      </c>
      <c r="K13" t="s">
        <v>157</v>
      </c>
      <c r="L13">
        <v>3</v>
      </c>
    </row>
    <row r="14" spans="1:16" x14ac:dyDescent="0.35">
      <c r="A14" t="s">
        <v>136</v>
      </c>
      <c r="B14" t="s">
        <v>132</v>
      </c>
      <c r="C14" t="s">
        <v>150</v>
      </c>
      <c r="D14">
        <v>310</v>
      </c>
      <c r="G14" s="62" t="s">
        <v>135</v>
      </c>
      <c r="H14" s="14">
        <f ca="1">COUNTIF($B$4:B31,G14)</f>
        <v>1</v>
      </c>
      <c r="J14" s="63" t="s">
        <v>133</v>
      </c>
      <c r="K14" t="s">
        <v>158</v>
      </c>
      <c r="L14">
        <v>1</v>
      </c>
    </row>
    <row r="15" spans="1:16" x14ac:dyDescent="0.35">
      <c r="A15" t="s">
        <v>138</v>
      </c>
      <c r="B15" t="s">
        <v>139</v>
      </c>
      <c r="C15" t="s">
        <v>149</v>
      </c>
      <c r="D15">
        <v>505</v>
      </c>
      <c r="G15" s="62" t="s">
        <v>139</v>
      </c>
      <c r="H15" s="14">
        <f ca="1">COUNTIF($B$4:B32,G15)</f>
        <v>2</v>
      </c>
      <c r="J15" s="63" t="s">
        <v>136</v>
      </c>
      <c r="K15" t="s">
        <v>159</v>
      </c>
      <c r="L15">
        <v>2</v>
      </c>
    </row>
    <row r="16" spans="1:16" x14ac:dyDescent="0.35">
      <c r="A16" t="s">
        <v>141</v>
      </c>
      <c r="B16" t="s">
        <v>139</v>
      </c>
      <c r="D16">
        <v>438</v>
      </c>
      <c r="G16" s="62" t="s">
        <v>75</v>
      </c>
      <c r="H16" s="14">
        <f ca="1">COUNTIF($B$4:B33,G16)</f>
        <v>1</v>
      </c>
      <c r="J16" s="63" t="s">
        <v>138</v>
      </c>
      <c r="K16" t="s">
        <v>160</v>
      </c>
      <c r="L16">
        <v>3</v>
      </c>
    </row>
    <row r="17" spans="1:12" x14ac:dyDescent="0.35">
      <c r="A17" t="s">
        <v>127</v>
      </c>
      <c r="B17" t="s">
        <v>128</v>
      </c>
      <c r="C17" t="s">
        <v>149</v>
      </c>
      <c r="D17">
        <v>385</v>
      </c>
      <c r="G17" s="62" t="s">
        <v>143</v>
      </c>
      <c r="H17" s="14">
        <f ca="1">COUNTIF($B$4:B34,G17)</f>
        <v>1</v>
      </c>
      <c r="J17" s="63" t="s">
        <v>141</v>
      </c>
      <c r="K17" t="s">
        <v>157</v>
      </c>
      <c r="L17">
        <v>1</v>
      </c>
    </row>
    <row r="18" spans="1:12" x14ac:dyDescent="0.35">
      <c r="A18" t="s">
        <v>120</v>
      </c>
      <c r="B18" t="s">
        <v>79</v>
      </c>
      <c r="C18" t="s">
        <v>119</v>
      </c>
      <c r="D18">
        <v>510</v>
      </c>
      <c r="J18" s="63" t="s">
        <v>127</v>
      </c>
      <c r="K18" t="s">
        <v>158</v>
      </c>
      <c r="L18">
        <v>2</v>
      </c>
    </row>
    <row r="19" spans="1:12" x14ac:dyDescent="0.35">
      <c r="A19" t="s">
        <v>122</v>
      </c>
      <c r="B19" t="s">
        <v>79</v>
      </c>
      <c r="C19" t="s">
        <v>139</v>
      </c>
      <c r="D19">
        <v>335</v>
      </c>
      <c r="J19" s="63" t="s">
        <v>120</v>
      </c>
      <c r="K19" t="s">
        <v>159</v>
      </c>
      <c r="L19">
        <v>3</v>
      </c>
    </row>
    <row r="20" spans="1:12" x14ac:dyDescent="0.35">
      <c r="A20" t="s">
        <v>125</v>
      </c>
      <c r="B20" t="s">
        <v>79</v>
      </c>
      <c r="C20" t="s">
        <v>148</v>
      </c>
      <c r="D20">
        <v>475</v>
      </c>
      <c r="J20" s="63" t="s">
        <v>122</v>
      </c>
      <c r="K20" t="s">
        <v>160</v>
      </c>
      <c r="L20">
        <v>1</v>
      </c>
    </row>
    <row r="21" spans="1:12" x14ac:dyDescent="0.35">
      <c r="A21" t="s">
        <v>126</v>
      </c>
      <c r="B21" t="s">
        <v>79</v>
      </c>
      <c r="C21" t="s">
        <v>148</v>
      </c>
      <c r="D21">
        <v>525</v>
      </c>
      <c r="J21" s="63" t="s">
        <v>125</v>
      </c>
      <c r="K21" t="s">
        <v>157</v>
      </c>
      <c r="L21">
        <v>2</v>
      </c>
    </row>
    <row r="22" spans="1:12" x14ac:dyDescent="0.35">
      <c r="A22" t="s">
        <v>137</v>
      </c>
      <c r="B22" t="s">
        <v>79</v>
      </c>
      <c r="D22">
        <v>475</v>
      </c>
      <c r="J22" s="63" t="s">
        <v>126</v>
      </c>
      <c r="K22" t="s">
        <v>158</v>
      </c>
      <c r="L22">
        <v>3</v>
      </c>
    </row>
    <row r="23" spans="1:12" x14ac:dyDescent="0.35">
      <c r="A23" t="s">
        <v>144</v>
      </c>
      <c r="B23" t="s">
        <v>79</v>
      </c>
      <c r="D23">
        <v>200</v>
      </c>
      <c r="J23" s="63" t="s">
        <v>137</v>
      </c>
      <c r="K23" t="s">
        <v>159</v>
      </c>
      <c r="L23">
        <v>1</v>
      </c>
    </row>
    <row r="24" spans="1:12" x14ac:dyDescent="0.35">
      <c r="J24" s="63" t="s">
        <v>144</v>
      </c>
      <c r="K24" t="s">
        <v>160</v>
      </c>
      <c r="L24">
        <v>2</v>
      </c>
    </row>
    <row r="25" spans="1:12" x14ac:dyDescent="0.35">
      <c r="A25">
        <f>COUNT(A3:A23)</f>
        <v>0</v>
      </c>
      <c r="D25">
        <f>COUNT(D3:D23)</f>
        <v>20</v>
      </c>
      <c r="E25" s="48" t="s">
        <v>151</v>
      </c>
      <c r="J25" s="63" t="s">
        <v>136</v>
      </c>
      <c r="K25" t="s">
        <v>157</v>
      </c>
      <c r="L25">
        <v>3</v>
      </c>
    </row>
    <row r="26" spans="1:12" x14ac:dyDescent="0.35">
      <c r="D26" t="str">
        <f ca="1">_xlfn.FORMULATEXT(D25)</f>
        <v>=COUNT(D3:D23)</v>
      </c>
      <c r="J26" s="63" t="s">
        <v>138</v>
      </c>
      <c r="K26" t="s">
        <v>158</v>
      </c>
      <c r="L26">
        <v>1</v>
      </c>
    </row>
    <row r="27" spans="1:12" x14ac:dyDescent="0.35">
      <c r="A27">
        <f>COUNTA(A3:A23)</f>
        <v>21</v>
      </c>
      <c r="B27">
        <f>COUNTA(B3:C23)</f>
        <v>34</v>
      </c>
      <c r="D27">
        <f>COUNTA(D3:D23)</f>
        <v>21</v>
      </c>
      <c r="E27" s="48" t="s">
        <v>152</v>
      </c>
      <c r="J27" s="63" t="s">
        <v>141</v>
      </c>
      <c r="K27" t="s">
        <v>159</v>
      </c>
      <c r="L27">
        <v>2</v>
      </c>
    </row>
    <row r="28" spans="1:12" x14ac:dyDescent="0.35">
      <c r="B28" t="str">
        <f ca="1">_xlfn.FORMULATEXT(B27)</f>
        <v>=COUNTA(B3:C23)</v>
      </c>
      <c r="J28" s="63" t="s">
        <v>127</v>
      </c>
      <c r="K28" t="s">
        <v>160</v>
      </c>
      <c r="L28">
        <v>3</v>
      </c>
    </row>
    <row r="29" spans="1:12" x14ac:dyDescent="0.35">
      <c r="A29">
        <f>COUNTBLANK(A4:A23)</f>
        <v>0</v>
      </c>
      <c r="C29">
        <f>COUNTBLANK(C4:C23)</f>
        <v>8</v>
      </c>
      <c r="E29" t="s">
        <v>153</v>
      </c>
      <c r="J29" s="63" t="s">
        <v>120</v>
      </c>
      <c r="K29" t="s">
        <v>157</v>
      </c>
      <c r="L29">
        <v>1</v>
      </c>
    </row>
    <row r="30" spans="1:12" x14ac:dyDescent="0.35">
      <c r="C30" t="str">
        <f ca="1">_xlfn.FORMULATEXT(C29)</f>
        <v>=COUNTBLANK(C4:C23)</v>
      </c>
      <c r="J30" s="63" t="s">
        <v>122</v>
      </c>
      <c r="K30" t="s">
        <v>158</v>
      </c>
      <c r="L30">
        <v>2</v>
      </c>
    </row>
    <row r="31" spans="1:12" x14ac:dyDescent="0.35">
      <c r="J31" s="63" t="s">
        <v>125</v>
      </c>
      <c r="K31" t="s">
        <v>159</v>
      </c>
      <c r="L31">
        <v>3</v>
      </c>
    </row>
    <row r="32" spans="1:12" x14ac:dyDescent="0.35">
      <c r="J32" s="63" t="s">
        <v>126</v>
      </c>
      <c r="K32" t="s">
        <v>160</v>
      </c>
      <c r="L32">
        <v>1</v>
      </c>
    </row>
    <row r="33" spans="10:12" x14ac:dyDescent="0.35">
      <c r="J33" s="63" t="s">
        <v>137</v>
      </c>
      <c r="K33" t="s">
        <v>157</v>
      </c>
      <c r="L33">
        <v>3</v>
      </c>
    </row>
    <row r="34" spans="10:12" x14ac:dyDescent="0.35">
      <c r="J34" s="63" t="s">
        <v>144</v>
      </c>
      <c r="K34" t="s">
        <v>158</v>
      </c>
      <c r="L34">
        <v>1</v>
      </c>
    </row>
  </sheetData>
  <sortState ref="A4:D23">
    <sortCondition ref="B4"/>
  </sortState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selection activeCell="G1" sqref="G1"/>
    </sheetView>
  </sheetViews>
  <sheetFormatPr defaultRowHeight="14.5" x14ac:dyDescent="0.35"/>
  <cols>
    <col min="1" max="1" width="12.1796875" bestFit="1" customWidth="1"/>
    <col min="2" max="2" width="6.26953125" bestFit="1" customWidth="1"/>
    <col min="4" max="4" width="9.90625" bestFit="1" customWidth="1"/>
    <col min="5" max="5" width="11.08984375" bestFit="1" customWidth="1"/>
    <col min="10" max="10" width="13.81640625" bestFit="1" customWidth="1"/>
  </cols>
  <sheetData>
    <row r="1" spans="1:10" ht="31" x14ac:dyDescent="0.7">
      <c r="A1" s="65" t="s">
        <v>164</v>
      </c>
      <c r="G1" s="65" t="s">
        <v>179</v>
      </c>
    </row>
    <row r="3" spans="1:10" x14ac:dyDescent="0.35">
      <c r="A3" s="23" t="s">
        <v>165</v>
      </c>
      <c r="B3" s="23" t="s">
        <v>67</v>
      </c>
      <c r="C3" s="23" t="s">
        <v>166</v>
      </c>
      <c r="D3" s="23" t="s">
        <v>167</v>
      </c>
      <c r="E3" s="66" t="s">
        <v>178</v>
      </c>
      <c r="G3" s="23" t="s">
        <v>66</v>
      </c>
      <c r="H3" s="23" t="s">
        <v>67</v>
      </c>
      <c r="I3" s="23" t="s">
        <v>68</v>
      </c>
      <c r="J3" s="23" t="s">
        <v>180</v>
      </c>
    </row>
    <row r="4" spans="1:10" x14ac:dyDescent="0.35">
      <c r="A4" s="14" t="s">
        <v>174</v>
      </c>
      <c r="B4" s="14" t="s">
        <v>79</v>
      </c>
      <c r="C4" s="14">
        <v>314</v>
      </c>
      <c r="D4" s="14" t="str">
        <f t="shared" ref="D4:D12" si="0">IF(B4="grass","yes","no")</f>
        <v>no</v>
      </c>
      <c r="E4" t="str">
        <f>IF(C4&gt;400,"yes","no")</f>
        <v>no</v>
      </c>
      <c r="G4" t="s">
        <v>102</v>
      </c>
      <c r="H4" t="s">
        <v>71</v>
      </c>
      <c r="I4">
        <v>45</v>
      </c>
      <c r="J4" t="str">
        <f>IF(I4&gt;90,"Fast",IF(I4&lt;=50,"Slow",IF(I4&gt;50,"Normal")))</f>
        <v>Slow</v>
      </c>
    </row>
    <row r="5" spans="1:10" x14ac:dyDescent="0.35">
      <c r="A5" s="14" t="s">
        <v>175</v>
      </c>
      <c r="B5" s="14" t="s">
        <v>79</v>
      </c>
      <c r="C5" s="14">
        <v>405</v>
      </c>
      <c r="D5" s="14" t="str">
        <f t="shared" si="0"/>
        <v>no</v>
      </c>
      <c r="E5" t="str">
        <f t="shared" ref="E5:E12" si="1">IF(C5&gt;400,"yes","no")</f>
        <v>yes</v>
      </c>
      <c r="G5" t="s">
        <v>106</v>
      </c>
      <c r="H5" t="s">
        <v>71</v>
      </c>
      <c r="I5">
        <v>60</v>
      </c>
      <c r="J5" t="str">
        <f t="shared" ref="J5:J12" si="2">IF(I5&gt;90,"Fast",IF(I5&lt;=50,"Slow",IF(I5&gt;50,"Normal")))</f>
        <v>Normal</v>
      </c>
    </row>
    <row r="6" spans="1:10" x14ac:dyDescent="0.35">
      <c r="A6" s="14" t="s">
        <v>176</v>
      </c>
      <c r="B6" s="14" t="s">
        <v>79</v>
      </c>
      <c r="C6" s="14">
        <v>530</v>
      </c>
      <c r="D6" s="14" t="str">
        <f t="shared" si="0"/>
        <v>no</v>
      </c>
      <c r="E6" t="str">
        <f t="shared" si="1"/>
        <v>yes</v>
      </c>
      <c r="G6" t="s">
        <v>107</v>
      </c>
      <c r="H6" t="s">
        <v>71</v>
      </c>
      <c r="I6">
        <v>80</v>
      </c>
      <c r="J6" t="str">
        <f t="shared" si="2"/>
        <v>Normal</v>
      </c>
    </row>
    <row r="7" spans="1:10" x14ac:dyDescent="0.35">
      <c r="A7" s="14" t="s">
        <v>168</v>
      </c>
      <c r="B7" s="14" t="s">
        <v>71</v>
      </c>
      <c r="C7" s="14">
        <v>318</v>
      </c>
      <c r="D7" s="14" t="str">
        <f t="shared" si="0"/>
        <v>yes</v>
      </c>
      <c r="E7" t="str">
        <f t="shared" si="1"/>
        <v>no</v>
      </c>
      <c r="G7" t="s">
        <v>108</v>
      </c>
      <c r="H7" t="s">
        <v>75</v>
      </c>
      <c r="I7">
        <v>65</v>
      </c>
      <c r="J7" t="str">
        <f t="shared" si="2"/>
        <v>Normal</v>
      </c>
    </row>
    <row r="8" spans="1:10" x14ac:dyDescent="0.35">
      <c r="A8" s="14" t="s">
        <v>169</v>
      </c>
      <c r="B8" s="14" t="s">
        <v>71</v>
      </c>
      <c r="C8" s="14">
        <v>405</v>
      </c>
      <c r="D8" s="14" t="str">
        <f t="shared" si="0"/>
        <v>yes</v>
      </c>
      <c r="E8" t="str">
        <f t="shared" si="1"/>
        <v>yes</v>
      </c>
      <c r="G8" t="s">
        <v>109</v>
      </c>
      <c r="H8" t="s">
        <v>75</v>
      </c>
      <c r="I8">
        <v>80</v>
      </c>
      <c r="J8" t="str">
        <f t="shared" si="2"/>
        <v>Normal</v>
      </c>
    </row>
    <row r="9" spans="1:10" x14ac:dyDescent="0.35">
      <c r="A9" s="14" t="s">
        <v>170</v>
      </c>
      <c r="B9" s="14" t="s">
        <v>71</v>
      </c>
      <c r="C9" s="14">
        <v>525</v>
      </c>
      <c r="D9" s="14" t="str">
        <f t="shared" si="0"/>
        <v>yes</v>
      </c>
      <c r="E9" t="str">
        <f t="shared" si="1"/>
        <v>yes</v>
      </c>
      <c r="G9" t="s">
        <v>110</v>
      </c>
      <c r="H9" t="s">
        <v>75</v>
      </c>
      <c r="I9">
        <v>100</v>
      </c>
      <c r="J9" t="str">
        <f t="shared" si="2"/>
        <v>Fast</v>
      </c>
    </row>
    <row r="10" spans="1:10" x14ac:dyDescent="0.35">
      <c r="A10" s="14" t="s">
        <v>171</v>
      </c>
      <c r="B10" s="14" t="s">
        <v>75</v>
      </c>
      <c r="C10" s="14">
        <v>309</v>
      </c>
      <c r="D10" s="14" t="str">
        <f t="shared" si="0"/>
        <v>no</v>
      </c>
      <c r="E10" t="str">
        <f t="shared" si="1"/>
        <v>no</v>
      </c>
      <c r="G10" t="s">
        <v>181</v>
      </c>
      <c r="H10" t="s">
        <v>79</v>
      </c>
      <c r="I10">
        <v>43</v>
      </c>
      <c r="J10" t="str">
        <f t="shared" si="2"/>
        <v>Slow</v>
      </c>
    </row>
    <row r="11" spans="1:10" x14ac:dyDescent="0.35">
      <c r="A11" s="14" t="s">
        <v>172</v>
      </c>
      <c r="B11" s="14" t="s">
        <v>75</v>
      </c>
      <c r="C11" s="14">
        <v>405</v>
      </c>
      <c r="D11" s="14" t="str">
        <f t="shared" si="0"/>
        <v>no</v>
      </c>
      <c r="E11" t="str">
        <f t="shared" si="1"/>
        <v>yes</v>
      </c>
      <c r="G11" t="s">
        <v>182</v>
      </c>
      <c r="H11" t="s">
        <v>79</v>
      </c>
      <c r="I11">
        <v>58</v>
      </c>
      <c r="J11" t="str">
        <f t="shared" si="2"/>
        <v>Normal</v>
      </c>
    </row>
    <row r="12" spans="1:10" x14ac:dyDescent="0.35">
      <c r="A12" s="14" t="s">
        <v>173</v>
      </c>
      <c r="B12" s="14" t="s">
        <v>75</v>
      </c>
      <c r="C12" s="14">
        <v>534</v>
      </c>
      <c r="D12" s="14" t="str">
        <f t="shared" si="0"/>
        <v>no</v>
      </c>
      <c r="E12" t="str">
        <f t="shared" si="1"/>
        <v>yes</v>
      </c>
      <c r="G12" t="s">
        <v>183</v>
      </c>
      <c r="H12" t="s">
        <v>79</v>
      </c>
      <c r="I12">
        <v>78</v>
      </c>
      <c r="J12" t="str">
        <f t="shared" si="2"/>
        <v>Normal</v>
      </c>
    </row>
    <row r="13" spans="1:10" x14ac:dyDescent="0.35">
      <c r="A13" t="s">
        <v>177</v>
      </c>
    </row>
  </sheetData>
  <autoFilter ref="B4:B13"/>
  <sortState ref="A4:D13">
    <sortCondition descending="1" ref="B4"/>
  </sortState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workbookViewId="0">
      <selection activeCell="L14" sqref="L14"/>
    </sheetView>
  </sheetViews>
  <sheetFormatPr defaultRowHeight="14.5" x14ac:dyDescent="0.35"/>
  <cols>
    <col min="1" max="1" width="21.6328125" bestFit="1" customWidth="1"/>
    <col min="2" max="3" width="8.54296875" bestFit="1" customWidth="1"/>
    <col min="6" max="6" width="9.90625" bestFit="1" customWidth="1"/>
    <col min="8" max="8" width="10.26953125" customWidth="1"/>
    <col min="11" max="11" width="10.6328125" bestFit="1" customWidth="1"/>
  </cols>
  <sheetData>
    <row r="1" spans="1:16" x14ac:dyDescent="0.35">
      <c r="A1" s="67" t="s">
        <v>66</v>
      </c>
      <c r="B1" s="67" t="s">
        <v>67</v>
      </c>
      <c r="C1" s="67" t="s">
        <v>146</v>
      </c>
      <c r="D1" s="67" t="s">
        <v>184</v>
      </c>
      <c r="E1" s="67" t="s">
        <v>185</v>
      </c>
      <c r="F1" s="67" t="s">
        <v>100</v>
      </c>
      <c r="G1" s="67" t="s">
        <v>205</v>
      </c>
      <c r="H1" s="67" t="s">
        <v>206</v>
      </c>
      <c r="I1" s="67" t="s">
        <v>207</v>
      </c>
    </row>
    <row r="2" spans="1:16" x14ac:dyDescent="0.35">
      <c r="A2" t="s">
        <v>186</v>
      </c>
      <c r="B2" t="s">
        <v>187</v>
      </c>
      <c r="D2">
        <v>25</v>
      </c>
      <c r="E2">
        <v>20</v>
      </c>
      <c r="F2">
        <v>15</v>
      </c>
    </row>
    <row r="3" spans="1:16" x14ac:dyDescent="0.35">
      <c r="A3" t="s">
        <v>188</v>
      </c>
      <c r="B3" t="s">
        <v>187</v>
      </c>
      <c r="D3">
        <v>40</v>
      </c>
      <c r="E3">
        <v>35</v>
      </c>
      <c r="F3">
        <v>30</v>
      </c>
    </row>
    <row r="4" spans="1:16" x14ac:dyDescent="0.35">
      <c r="A4" t="s">
        <v>189</v>
      </c>
      <c r="B4" t="s">
        <v>187</v>
      </c>
      <c r="D4">
        <v>55</v>
      </c>
      <c r="E4">
        <v>50</v>
      </c>
      <c r="F4">
        <v>45</v>
      </c>
    </row>
    <row r="5" spans="1:16" x14ac:dyDescent="0.35">
      <c r="A5" t="s">
        <v>190</v>
      </c>
      <c r="B5" t="s">
        <v>119</v>
      </c>
      <c r="D5">
        <v>70</v>
      </c>
      <c r="E5">
        <v>80</v>
      </c>
      <c r="F5">
        <v>50</v>
      </c>
    </row>
    <row r="6" spans="1:16" x14ac:dyDescent="0.35">
      <c r="A6" t="s">
        <v>191</v>
      </c>
      <c r="B6" t="s">
        <v>119</v>
      </c>
      <c r="D6">
        <v>80</v>
      </c>
      <c r="E6">
        <v>100</v>
      </c>
      <c r="F6">
        <v>70</v>
      </c>
    </row>
    <row r="7" spans="1:16" x14ac:dyDescent="0.35">
      <c r="A7" t="s">
        <v>192</v>
      </c>
      <c r="B7" t="s">
        <v>119</v>
      </c>
      <c r="D7">
        <v>90</v>
      </c>
      <c r="E7">
        <v>130</v>
      </c>
      <c r="F7">
        <v>80</v>
      </c>
    </row>
    <row r="8" spans="1:16" x14ac:dyDescent="0.35">
      <c r="A8" t="s">
        <v>193</v>
      </c>
      <c r="B8" t="s">
        <v>71</v>
      </c>
      <c r="C8" t="s">
        <v>139</v>
      </c>
      <c r="D8">
        <v>50</v>
      </c>
      <c r="E8">
        <v>75</v>
      </c>
      <c r="F8">
        <v>35</v>
      </c>
    </row>
    <row r="9" spans="1:16" x14ac:dyDescent="0.35">
      <c r="A9" t="s">
        <v>194</v>
      </c>
      <c r="B9" t="s">
        <v>71</v>
      </c>
      <c r="C9" t="s">
        <v>139</v>
      </c>
      <c r="D9">
        <v>65</v>
      </c>
      <c r="E9">
        <v>90</v>
      </c>
      <c r="F9">
        <v>50</v>
      </c>
    </row>
    <row r="10" spans="1:16" x14ac:dyDescent="0.35">
      <c r="A10" t="s">
        <v>121</v>
      </c>
      <c r="B10" t="s">
        <v>71</v>
      </c>
      <c r="C10" t="s">
        <v>139</v>
      </c>
      <c r="D10">
        <v>80</v>
      </c>
      <c r="E10">
        <v>105</v>
      </c>
      <c r="F10">
        <v>65</v>
      </c>
    </row>
    <row r="11" spans="1:16" x14ac:dyDescent="0.35">
      <c r="A11" t="s">
        <v>122</v>
      </c>
      <c r="B11" t="s">
        <v>79</v>
      </c>
      <c r="C11" t="s">
        <v>139</v>
      </c>
      <c r="D11">
        <v>40</v>
      </c>
      <c r="E11">
        <v>40</v>
      </c>
      <c r="F11">
        <v>35</v>
      </c>
    </row>
    <row r="12" spans="1:16" x14ac:dyDescent="0.35">
      <c r="A12" t="s">
        <v>195</v>
      </c>
      <c r="B12" t="s">
        <v>79</v>
      </c>
      <c r="C12" t="s">
        <v>139</v>
      </c>
      <c r="D12">
        <v>80</v>
      </c>
      <c r="E12">
        <v>70</v>
      </c>
      <c r="F12">
        <v>65</v>
      </c>
    </row>
    <row r="13" spans="1:16" x14ac:dyDescent="0.35">
      <c r="A13" t="s">
        <v>196</v>
      </c>
      <c r="B13" t="s">
        <v>128</v>
      </c>
      <c r="C13" t="s">
        <v>149</v>
      </c>
      <c r="D13">
        <v>40</v>
      </c>
      <c r="E13">
        <v>80</v>
      </c>
      <c r="F13">
        <v>100</v>
      </c>
      <c r="K13" s="71"/>
      <c r="L13" s="72"/>
      <c r="M13" s="72"/>
      <c r="N13" s="72"/>
      <c r="O13" s="72"/>
      <c r="P13" s="72"/>
    </row>
    <row r="14" spans="1:16" x14ac:dyDescent="0.35">
      <c r="A14" t="s">
        <v>197</v>
      </c>
      <c r="B14" t="s">
        <v>128</v>
      </c>
      <c r="C14" t="s">
        <v>149</v>
      </c>
      <c r="D14">
        <v>55</v>
      </c>
      <c r="E14">
        <v>95</v>
      </c>
      <c r="F14">
        <v>115</v>
      </c>
      <c r="K14" t="s">
        <v>177</v>
      </c>
    </row>
    <row r="15" spans="1:16" x14ac:dyDescent="0.35">
      <c r="A15" t="s">
        <v>198</v>
      </c>
      <c r="B15" t="s">
        <v>128</v>
      </c>
      <c r="C15" t="s">
        <v>149</v>
      </c>
      <c r="D15">
        <v>80</v>
      </c>
      <c r="E15">
        <v>120</v>
      </c>
      <c r="F15">
        <v>130</v>
      </c>
    </row>
    <row r="16" spans="1:16" x14ac:dyDescent="0.35">
      <c r="A16" t="s">
        <v>199</v>
      </c>
      <c r="B16" t="s">
        <v>75</v>
      </c>
      <c r="D16">
        <v>50</v>
      </c>
      <c r="E16">
        <v>85</v>
      </c>
      <c r="F16">
        <v>55</v>
      </c>
    </row>
    <row r="17" spans="1:6" x14ac:dyDescent="0.35">
      <c r="A17" t="s">
        <v>200</v>
      </c>
      <c r="B17" t="s">
        <v>75</v>
      </c>
      <c r="D17">
        <v>65</v>
      </c>
      <c r="E17">
        <v>100</v>
      </c>
      <c r="F17">
        <v>70</v>
      </c>
    </row>
    <row r="18" spans="1:6" x14ac:dyDescent="0.35">
      <c r="A18" t="s">
        <v>201</v>
      </c>
      <c r="B18" t="s">
        <v>79</v>
      </c>
      <c r="C18" t="s">
        <v>187</v>
      </c>
      <c r="D18">
        <v>90</v>
      </c>
      <c r="E18">
        <v>65</v>
      </c>
      <c r="F18">
        <v>65</v>
      </c>
    </row>
    <row r="19" spans="1:6" x14ac:dyDescent="0.35">
      <c r="A19" t="s">
        <v>202</v>
      </c>
      <c r="B19" t="s">
        <v>79</v>
      </c>
      <c r="C19" t="s">
        <v>187</v>
      </c>
      <c r="D19">
        <v>95</v>
      </c>
      <c r="E19">
        <v>75</v>
      </c>
      <c r="F19">
        <v>110</v>
      </c>
    </row>
    <row r="20" spans="1:6" x14ac:dyDescent="0.35">
      <c r="A20" t="s">
        <v>203</v>
      </c>
      <c r="B20" t="s">
        <v>124</v>
      </c>
      <c r="C20" t="s">
        <v>147</v>
      </c>
      <c r="D20">
        <v>25</v>
      </c>
      <c r="E20">
        <v>35</v>
      </c>
      <c r="F20">
        <v>70</v>
      </c>
    </row>
    <row r="21" spans="1:6" x14ac:dyDescent="0.35">
      <c r="A21" t="s">
        <v>123</v>
      </c>
      <c r="B21" t="s">
        <v>124</v>
      </c>
      <c r="C21" t="s">
        <v>147</v>
      </c>
      <c r="D21">
        <v>50</v>
      </c>
      <c r="E21">
        <v>60</v>
      </c>
      <c r="F21">
        <v>95</v>
      </c>
    </row>
    <row r="22" spans="1:6" x14ac:dyDescent="0.35">
      <c r="A22" t="s">
        <v>204</v>
      </c>
      <c r="B22" t="s">
        <v>132</v>
      </c>
      <c r="C22" t="s">
        <v>150</v>
      </c>
      <c r="D22">
        <v>52</v>
      </c>
      <c r="E22">
        <v>65</v>
      </c>
      <c r="F22">
        <v>55</v>
      </c>
    </row>
    <row r="23" spans="1:6" x14ac:dyDescent="0.35">
      <c r="A23" t="s">
        <v>177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0"/>
  <sheetViews>
    <sheetView topLeftCell="AO1" workbookViewId="0">
      <selection activeCell="AW20" sqref="AW20"/>
    </sheetView>
  </sheetViews>
  <sheetFormatPr defaultRowHeight="14.5" x14ac:dyDescent="0.35"/>
  <cols>
    <col min="1" max="1" width="17.36328125" bestFit="1" customWidth="1"/>
    <col min="5" max="5" width="12.453125" customWidth="1"/>
    <col min="6" max="6" width="9.6328125" customWidth="1"/>
    <col min="9" max="9" width="9.54296875" customWidth="1"/>
    <col min="14" max="14" width="9.6328125" customWidth="1"/>
    <col min="16" max="16" width="11.7265625" customWidth="1"/>
    <col min="20" max="20" width="9.6328125" customWidth="1"/>
    <col min="25" max="25" width="12.6328125" bestFit="1" customWidth="1"/>
    <col min="29" max="29" width="9.6328125" customWidth="1"/>
    <col min="34" max="34" width="11.453125" bestFit="1" customWidth="1"/>
    <col min="43" max="43" width="14.08984375" bestFit="1" customWidth="1"/>
    <col min="45" max="45" width="9.81640625" customWidth="1"/>
    <col min="48" max="55" width="10.26953125" customWidth="1"/>
  </cols>
  <sheetData>
    <row r="1" spans="1:55" ht="31" x14ac:dyDescent="0.35">
      <c r="A1" t="s">
        <v>66</v>
      </c>
      <c r="B1" t="s">
        <v>67</v>
      </c>
      <c r="C1" t="s">
        <v>146</v>
      </c>
      <c r="D1" t="s">
        <v>184</v>
      </c>
      <c r="E1" t="s">
        <v>185</v>
      </c>
      <c r="F1" t="s">
        <v>100</v>
      </c>
      <c r="I1" s="74" t="s">
        <v>66</v>
      </c>
      <c r="J1" s="75" t="s">
        <v>67</v>
      </c>
      <c r="K1" s="75" t="s">
        <v>146</v>
      </c>
      <c r="L1" s="75" t="s">
        <v>184</v>
      </c>
      <c r="M1" s="75" t="s">
        <v>185</v>
      </c>
      <c r="N1" s="76" t="s">
        <v>100</v>
      </c>
      <c r="P1" s="90" t="s">
        <v>218</v>
      </c>
      <c r="W1" s="89"/>
      <c r="X1" t="s">
        <v>230</v>
      </c>
      <c r="Y1" t="s">
        <v>229</v>
      </c>
      <c r="AH1" t="s">
        <v>231</v>
      </c>
      <c r="AP1" s="100" t="s">
        <v>240</v>
      </c>
      <c r="AV1" s="111" t="s">
        <v>258</v>
      </c>
    </row>
    <row r="2" spans="1:55" x14ac:dyDescent="0.35">
      <c r="A2" t="s">
        <v>186</v>
      </c>
      <c r="B2" t="s">
        <v>187</v>
      </c>
      <c r="D2">
        <v>25</v>
      </c>
      <c r="E2">
        <v>20</v>
      </c>
      <c r="F2">
        <v>15</v>
      </c>
      <c r="I2" s="77" t="s">
        <v>186</v>
      </c>
      <c r="J2" s="78" t="s">
        <v>187</v>
      </c>
      <c r="K2" s="78"/>
      <c r="L2" s="78">
        <v>25</v>
      </c>
      <c r="M2" s="78">
        <v>20</v>
      </c>
      <c r="N2" s="79">
        <v>15</v>
      </c>
      <c r="P2" t="s">
        <v>228</v>
      </c>
      <c r="W2" s="83"/>
      <c r="AV2" s="77" t="s">
        <v>51</v>
      </c>
      <c r="AW2" s="78" t="s">
        <v>67</v>
      </c>
      <c r="AX2" s="78" t="s">
        <v>184</v>
      </c>
      <c r="AY2" s="78" t="s">
        <v>185</v>
      </c>
      <c r="AZ2" s="78" t="s">
        <v>100</v>
      </c>
      <c r="BA2" s="78" t="s">
        <v>219</v>
      </c>
      <c r="BB2" s="78" t="s">
        <v>220</v>
      </c>
      <c r="BC2" s="79" t="s">
        <v>68</v>
      </c>
    </row>
    <row r="3" spans="1:55" x14ac:dyDescent="0.35">
      <c r="A3" t="s">
        <v>188</v>
      </c>
      <c r="B3" t="s">
        <v>187</v>
      </c>
      <c r="D3">
        <v>40</v>
      </c>
      <c r="E3">
        <v>35</v>
      </c>
      <c r="F3">
        <v>30</v>
      </c>
      <c r="I3" s="80" t="s">
        <v>188</v>
      </c>
      <c r="J3" s="81" t="s">
        <v>187</v>
      </c>
      <c r="K3" s="81"/>
      <c r="L3" s="81">
        <v>40</v>
      </c>
      <c r="M3" s="81">
        <v>35</v>
      </c>
      <c r="N3" s="82">
        <v>30</v>
      </c>
      <c r="P3" s="74" t="s">
        <v>208</v>
      </c>
      <c r="Q3" s="75" t="s">
        <v>67</v>
      </c>
      <c r="R3" s="75" t="s">
        <v>184</v>
      </c>
      <c r="S3" s="75" t="s">
        <v>185</v>
      </c>
      <c r="T3" s="75" t="s">
        <v>100</v>
      </c>
      <c r="U3" s="75" t="s">
        <v>219</v>
      </c>
      <c r="V3" s="75" t="s">
        <v>220</v>
      </c>
      <c r="W3" s="76" t="s">
        <v>68</v>
      </c>
      <c r="Y3" s="74" t="s">
        <v>208</v>
      </c>
      <c r="Z3" s="75" t="s">
        <v>67</v>
      </c>
      <c r="AA3" s="75" t="s">
        <v>184</v>
      </c>
      <c r="AB3" s="75" t="s">
        <v>185</v>
      </c>
      <c r="AC3" s="75" t="s">
        <v>100</v>
      </c>
      <c r="AD3" s="75" t="s">
        <v>219</v>
      </c>
      <c r="AE3" s="75" t="s">
        <v>220</v>
      </c>
      <c r="AF3" s="76" t="s">
        <v>68</v>
      </c>
      <c r="AH3" s="91" t="s">
        <v>232</v>
      </c>
      <c r="AI3" s="92" t="s">
        <v>67</v>
      </c>
      <c r="AJ3" s="92" t="s">
        <v>184</v>
      </c>
      <c r="AK3" s="92" t="s">
        <v>185</v>
      </c>
      <c r="AL3" s="92" t="s">
        <v>100</v>
      </c>
      <c r="AM3" s="92" t="s">
        <v>219</v>
      </c>
      <c r="AN3" s="92" t="s">
        <v>220</v>
      </c>
      <c r="AO3" s="93" t="s">
        <v>68</v>
      </c>
      <c r="AQ3" s="101" t="s">
        <v>232</v>
      </c>
      <c r="AR3" s="102" t="s">
        <v>67</v>
      </c>
      <c r="AS3" s="102" t="s">
        <v>241</v>
      </c>
      <c r="AT3" s="103" t="s">
        <v>242</v>
      </c>
      <c r="AV3" s="80" t="s">
        <v>259</v>
      </c>
      <c r="AW3" s="81" t="s">
        <v>132</v>
      </c>
      <c r="AX3" s="81">
        <v>48</v>
      </c>
      <c r="AY3" s="81">
        <v>48</v>
      </c>
      <c r="AZ3" s="81">
        <v>48</v>
      </c>
      <c r="BA3" s="81">
        <v>48</v>
      </c>
      <c r="BB3" s="81">
        <v>48</v>
      </c>
      <c r="BC3" s="82">
        <v>48</v>
      </c>
    </row>
    <row r="4" spans="1:55" x14ac:dyDescent="0.35">
      <c r="A4" t="s">
        <v>189</v>
      </c>
      <c r="B4" t="s">
        <v>187</v>
      </c>
      <c r="D4">
        <v>55</v>
      </c>
      <c r="E4">
        <v>50</v>
      </c>
      <c r="F4">
        <v>45</v>
      </c>
      <c r="I4" s="77" t="s">
        <v>189</v>
      </c>
      <c r="J4" s="78" t="s">
        <v>187</v>
      </c>
      <c r="K4" s="78"/>
      <c r="L4" s="78">
        <v>55</v>
      </c>
      <c r="M4" s="78">
        <v>50</v>
      </c>
      <c r="N4" s="79">
        <v>45</v>
      </c>
      <c r="P4" s="77" t="s">
        <v>221</v>
      </c>
      <c r="Q4" s="78" t="s">
        <v>79</v>
      </c>
      <c r="R4" s="78">
        <v>20</v>
      </c>
      <c r="S4" s="78">
        <v>10</v>
      </c>
      <c r="T4" s="78">
        <v>55</v>
      </c>
      <c r="U4" s="78">
        <v>15</v>
      </c>
      <c r="V4" s="78">
        <v>20</v>
      </c>
      <c r="W4" s="79">
        <v>80</v>
      </c>
      <c r="Y4" s="77" t="s">
        <v>221</v>
      </c>
      <c r="Z4" s="78" t="s">
        <v>79</v>
      </c>
      <c r="AA4" s="78">
        <v>20</v>
      </c>
      <c r="AB4" s="78">
        <v>10</v>
      </c>
      <c r="AC4" s="78">
        <v>55</v>
      </c>
      <c r="AD4" s="78">
        <v>15</v>
      </c>
      <c r="AE4" s="78">
        <v>20</v>
      </c>
      <c r="AF4" s="79">
        <v>80</v>
      </c>
      <c r="AH4" s="94" t="s">
        <v>233</v>
      </c>
      <c r="AI4" s="95" t="s">
        <v>132</v>
      </c>
      <c r="AJ4" s="95">
        <v>40</v>
      </c>
      <c r="AK4" s="95">
        <v>45</v>
      </c>
      <c r="AL4" s="95">
        <v>40</v>
      </c>
      <c r="AM4" s="95">
        <v>35</v>
      </c>
      <c r="AN4" s="95">
        <v>35</v>
      </c>
      <c r="AO4" s="96">
        <v>56</v>
      </c>
      <c r="AQ4" s="104" t="s">
        <v>70</v>
      </c>
      <c r="AR4" s="105" t="s">
        <v>71</v>
      </c>
      <c r="AS4" s="106">
        <v>45715</v>
      </c>
      <c r="AT4" s="107">
        <v>1996</v>
      </c>
      <c r="AV4" s="77" t="s">
        <v>259</v>
      </c>
      <c r="AW4" s="78" t="s">
        <v>132</v>
      </c>
      <c r="AX4" s="78">
        <v>48</v>
      </c>
      <c r="AY4" s="78">
        <v>48</v>
      </c>
      <c r="AZ4" s="78">
        <v>48</v>
      </c>
      <c r="BA4" s="78">
        <v>48</v>
      </c>
      <c r="BB4" s="78">
        <v>48</v>
      </c>
      <c r="BC4" s="79">
        <v>48</v>
      </c>
    </row>
    <row r="5" spans="1:55" x14ac:dyDescent="0.35">
      <c r="A5" t="s">
        <v>177</v>
      </c>
      <c r="I5" s="80" t="s">
        <v>190</v>
      </c>
      <c r="J5" s="81" t="s">
        <v>119</v>
      </c>
      <c r="K5" s="81"/>
      <c r="L5" s="81">
        <v>70</v>
      </c>
      <c r="M5" s="81">
        <v>80</v>
      </c>
      <c r="N5" s="82">
        <v>50</v>
      </c>
      <c r="P5" s="80" t="s">
        <v>222</v>
      </c>
      <c r="Q5" s="81" t="s">
        <v>79</v>
      </c>
      <c r="R5" s="81">
        <v>95</v>
      </c>
      <c r="S5" s="81">
        <v>125</v>
      </c>
      <c r="T5" s="81">
        <v>79</v>
      </c>
      <c r="U5" s="81">
        <v>60</v>
      </c>
      <c r="V5" s="81">
        <v>100</v>
      </c>
      <c r="W5" s="82">
        <v>81</v>
      </c>
      <c r="Y5" s="80" t="s">
        <v>222</v>
      </c>
      <c r="Z5" s="81" t="s">
        <v>79</v>
      </c>
      <c r="AA5" s="81">
        <v>95</v>
      </c>
      <c r="AB5" s="81">
        <v>125</v>
      </c>
      <c r="AC5" s="81">
        <v>79</v>
      </c>
      <c r="AD5" s="81">
        <v>60</v>
      </c>
      <c r="AE5" s="81">
        <v>100</v>
      </c>
      <c r="AF5" s="82">
        <v>81</v>
      </c>
      <c r="AH5" s="94" t="s">
        <v>234</v>
      </c>
      <c r="AI5" s="95" t="s">
        <v>132</v>
      </c>
      <c r="AJ5" s="95">
        <v>63</v>
      </c>
      <c r="AK5" s="95">
        <v>60</v>
      </c>
      <c r="AL5" s="95">
        <v>55</v>
      </c>
      <c r="AM5" s="95">
        <v>50</v>
      </c>
      <c r="AN5" s="95">
        <v>50</v>
      </c>
      <c r="AO5" s="96">
        <v>71</v>
      </c>
      <c r="AQ5" s="104" t="s">
        <v>74</v>
      </c>
      <c r="AR5" s="105" t="s">
        <v>75</v>
      </c>
      <c r="AS5" s="106">
        <v>45715</v>
      </c>
      <c r="AT5" s="107">
        <v>1996</v>
      </c>
      <c r="AV5" s="80" t="s">
        <v>259</v>
      </c>
      <c r="AW5" s="81" t="s">
        <v>132</v>
      </c>
      <c r="AX5" s="81">
        <v>48</v>
      </c>
      <c r="AY5" s="81">
        <v>48</v>
      </c>
      <c r="AZ5" s="81">
        <v>48</v>
      </c>
      <c r="BA5" s="81">
        <v>48</v>
      </c>
      <c r="BB5" s="81">
        <v>48</v>
      </c>
      <c r="BC5" s="82">
        <v>48</v>
      </c>
    </row>
    <row r="6" spans="1:55" x14ac:dyDescent="0.35">
      <c r="I6" s="77" t="s">
        <v>191</v>
      </c>
      <c r="J6" s="78" t="s">
        <v>119</v>
      </c>
      <c r="K6" s="78"/>
      <c r="L6" s="78">
        <v>80</v>
      </c>
      <c r="M6" s="78">
        <v>100</v>
      </c>
      <c r="N6" s="79">
        <v>70</v>
      </c>
      <c r="P6" s="77" t="s">
        <v>223</v>
      </c>
      <c r="Q6" s="78" t="s">
        <v>79</v>
      </c>
      <c r="R6" s="78">
        <v>130</v>
      </c>
      <c r="S6" s="78">
        <v>85</v>
      </c>
      <c r="T6" s="78">
        <v>80</v>
      </c>
      <c r="U6" s="78">
        <v>85</v>
      </c>
      <c r="V6" s="78">
        <v>95</v>
      </c>
      <c r="W6" s="79">
        <v>60</v>
      </c>
      <c r="Y6" s="77" t="s">
        <v>223</v>
      </c>
      <c r="Z6" s="78" t="s">
        <v>79</v>
      </c>
      <c r="AA6" s="78">
        <v>130</v>
      </c>
      <c r="AB6" s="78">
        <v>85</v>
      </c>
      <c r="AC6" s="78">
        <v>80</v>
      </c>
      <c r="AD6" s="78">
        <v>85</v>
      </c>
      <c r="AE6" s="78">
        <v>95</v>
      </c>
      <c r="AF6" s="79">
        <v>60</v>
      </c>
      <c r="AH6" s="94" t="s">
        <v>235</v>
      </c>
      <c r="AI6" s="95" t="s">
        <v>132</v>
      </c>
      <c r="AJ6" s="95">
        <v>83</v>
      </c>
      <c r="AK6" s="95">
        <v>80</v>
      </c>
      <c r="AL6" s="95">
        <v>75</v>
      </c>
      <c r="AM6" s="95">
        <v>70</v>
      </c>
      <c r="AN6" s="95">
        <v>70</v>
      </c>
      <c r="AO6" s="96">
        <v>101</v>
      </c>
      <c r="AQ6" s="104" t="s">
        <v>78</v>
      </c>
      <c r="AR6" s="105" t="s">
        <v>79</v>
      </c>
      <c r="AS6" s="106">
        <v>45715</v>
      </c>
      <c r="AT6" s="107">
        <v>1996</v>
      </c>
      <c r="AV6" s="77" t="s">
        <v>260</v>
      </c>
      <c r="AW6" s="78" t="s">
        <v>187</v>
      </c>
      <c r="AX6" s="78">
        <v>100</v>
      </c>
      <c r="AY6" s="78">
        <v>100</v>
      </c>
      <c r="AZ6" s="78">
        <v>100</v>
      </c>
      <c r="BA6" s="78">
        <v>100</v>
      </c>
      <c r="BB6" s="78">
        <v>100</v>
      </c>
      <c r="BC6" s="79">
        <v>100</v>
      </c>
    </row>
    <row r="7" spans="1:55" x14ac:dyDescent="0.35">
      <c r="I7" s="80" t="s">
        <v>192</v>
      </c>
      <c r="J7" s="81" t="s">
        <v>119</v>
      </c>
      <c r="K7" s="81"/>
      <c r="L7" s="81">
        <v>90</v>
      </c>
      <c r="M7" s="81">
        <v>130</v>
      </c>
      <c r="N7" s="82">
        <v>80</v>
      </c>
      <c r="P7" s="80" t="s">
        <v>224</v>
      </c>
      <c r="Q7" s="81" t="s">
        <v>132</v>
      </c>
      <c r="R7" s="81">
        <v>48</v>
      </c>
      <c r="S7" s="81">
        <v>48</v>
      </c>
      <c r="T7" s="81">
        <v>48</v>
      </c>
      <c r="U7" s="81">
        <v>48</v>
      </c>
      <c r="V7" s="81">
        <v>48</v>
      </c>
      <c r="W7" s="82">
        <v>48</v>
      </c>
      <c r="Y7" s="80" t="s">
        <v>224</v>
      </c>
      <c r="Z7" s="81" t="s">
        <v>132</v>
      </c>
      <c r="AA7" s="81">
        <v>48</v>
      </c>
      <c r="AB7" s="81">
        <v>48</v>
      </c>
      <c r="AC7" s="81">
        <v>48</v>
      </c>
      <c r="AD7" s="81">
        <v>48</v>
      </c>
      <c r="AE7" s="81">
        <v>48</v>
      </c>
      <c r="AF7" s="82">
        <v>48</v>
      </c>
      <c r="AH7" s="94" t="s">
        <v>236</v>
      </c>
      <c r="AI7" s="95" t="s">
        <v>132</v>
      </c>
      <c r="AJ7" s="95">
        <v>30</v>
      </c>
      <c r="AK7" s="95">
        <v>56</v>
      </c>
      <c r="AL7" s="95">
        <v>35</v>
      </c>
      <c r="AM7" s="95">
        <v>25</v>
      </c>
      <c r="AN7" s="95">
        <v>35</v>
      </c>
      <c r="AO7" s="96">
        <v>72</v>
      </c>
      <c r="AQ7" s="104" t="s">
        <v>243</v>
      </c>
      <c r="AR7" s="105" t="s">
        <v>71</v>
      </c>
      <c r="AS7" s="106">
        <v>45982</v>
      </c>
      <c r="AT7" s="107">
        <v>1999</v>
      </c>
      <c r="AV7" s="80" t="s">
        <v>259</v>
      </c>
      <c r="AW7" s="81" t="s">
        <v>132</v>
      </c>
      <c r="AX7" s="81">
        <v>48</v>
      </c>
      <c r="AY7" s="81">
        <v>48</v>
      </c>
      <c r="AZ7" s="81">
        <v>48</v>
      </c>
      <c r="BA7" s="81">
        <v>48</v>
      </c>
      <c r="BB7" s="81">
        <v>48</v>
      </c>
      <c r="BC7" s="82">
        <v>48</v>
      </c>
    </row>
    <row r="8" spans="1:55" x14ac:dyDescent="0.35">
      <c r="I8" s="77" t="s">
        <v>193</v>
      </c>
      <c r="J8" s="78" t="s">
        <v>71</v>
      </c>
      <c r="K8" s="78" t="s">
        <v>139</v>
      </c>
      <c r="L8" s="78">
        <v>50</v>
      </c>
      <c r="M8" s="78">
        <v>75</v>
      </c>
      <c r="N8" s="79">
        <v>35</v>
      </c>
      <c r="P8" s="77" t="s">
        <v>225</v>
      </c>
      <c r="Q8" s="78" t="s">
        <v>132</v>
      </c>
      <c r="R8" s="78">
        <v>55</v>
      </c>
      <c r="S8" s="78">
        <v>55</v>
      </c>
      <c r="T8" s="78">
        <v>50</v>
      </c>
      <c r="U8" s="78">
        <v>45</v>
      </c>
      <c r="V8" s="78">
        <v>65</v>
      </c>
      <c r="W8" s="79">
        <v>55</v>
      </c>
      <c r="Y8" s="77" t="s">
        <v>225</v>
      </c>
      <c r="Z8" s="78" t="s">
        <v>132</v>
      </c>
      <c r="AA8" s="78">
        <v>55</v>
      </c>
      <c r="AB8" s="78">
        <v>55</v>
      </c>
      <c r="AC8" s="78">
        <v>50</v>
      </c>
      <c r="AD8" s="78">
        <v>45</v>
      </c>
      <c r="AE8" s="78">
        <v>65</v>
      </c>
      <c r="AF8" s="79">
        <v>55</v>
      </c>
      <c r="AH8" s="94" t="s">
        <v>237</v>
      </c>
      <c r="AI8" s="95" t="s">
        <v>132</v>
      </c>
      <c r="AJ8" s="95">
        <v>55</v>
      </c>
      <c r="AK8" s="95">
        <v>81</v>
      </c>
      <c r="AL8" s="95">
        <v>60</v>
      </c>
      <c r="AM8" s="95">
        <v>50</v>
      </c>
      <c r="AN8" s="95">
        <v>70</v>
      </c>
      <c r="AO8" s="96">
        <v>97</v>
      </c>
      <c r="AQ8" s="104" t="s">
        <v>244</v>
      </c>
      <c r="AR8" s="105" t="s">
        <v>75</v>
      </c>
      <c r="AS8" s="106">
        <v>45982</v>
      </c>
      <c r="AT8" s="107">
        <v>1999</v>
      </c>
      <c r="AV8" s="77" t="s">
        <v>259</v>
      </c>
      <c r="AW8" s="78" t="s">
        <v>132</v>
      </c>
      <c r="AX8" s="78">
        <v>48</v>
      </c>
      <c r="AY8" s="78">
        <v>48</v>
      </c>
      <c r="AZ8" s="78">
        <v>48</v>
      </c>
      <c r="BA8" s="78">
        <v>48</v>
      </c>
      <c r="BB8" s="78">
        <v>48</v>
      </c>
      <c r="BC8" s="79">
        <v>48</v>
      </c>
    </row>
    <row r="9" spans="1:55" x14ac:dyDescent="0.35">
      <c r="I9" s="80" t="s">
        <v>194</v>
      </c>
      <c r="J9" s="81" t="s">
        <v>71</v>
      </c>
      <c r="K9" s="81" t="s">
        <v>139</v>
      </c>
      <c r="L9" s="81">
        <v>65</v>
      </c>
      <c r="M9" s="81">
        <v>90</v>
      </c>
      <c r="N9" s="82">
        <v>50</v>
      </c>
      <c r="P9" s="80" t="s">
        <v>226</v>
      </c>
      <c r="Q9" s="81" t="s">
        <v>79</v>
      </c>
      <c r="R9" s="81">
        <v>130</v>
      </c>
      <c r="S9" s="81">
        <v>65</v>
      </c>
      <c r="T9" s="81">
        <v>60</v>
      </c>
      <c r="U9" s="81">
        <v>110</v>
      </c>
      <c r="V9" s="81">
        <v>95</v>
      </c>
      <c r="W9" s="82">
        <v>65</v>
      </c>
      <c r="Y9" s="80" t="s">
        <v>226</v>
      </c>
      <c r="Z9" s="81" t="s">
        <v>79</v>
      </c>
      <c r="AA9" s="81">
        <v>130</v>
      </c>
      <c r="AB9" s="81">
        <v>65</v>
      </c>
      <c r="AC9" s="81">
        <v>60</v>
      </c>
      <c r="AD9" s="81">
        <v>110</v>
      </c>
      <c r="AE9" s="81">
        <v>95</v>
      </c>
      <c r="AF9" s="82">
        <v>65</v>
      </c>
      <c r="AH9" s="94" t="s">
        <v>238</v>
      </c>
      <c r="AI9" s="95" t="s">
        <v>132</v>
      </c>
      <c r="AJ9" s="95">
        <v>40</v>
      </c>
      <c r="AK9" s="95">
        <v>60</v>
      </c>
      <c r="AL9" s="95">
        <v>30</v>
      </c>
      <c r="AM9" s="95">
        <v>31</v>
      </c>
      <c r="AN9" s="95">
        <v>31</v>
      </c>
      <c r="AO9" s="96">
        <v>70</v>
      </c>
      <c r="AQ9" s="104" t="s">
        <v>245</v>
      </c>
      <c r="AR9" s="105" t="s">
        <v>79</v>
      </c>
      <c r="AS9" s="106">
        <v>45982</v>
      </c>
      <c r="AT9" s="107">
        <v>1999</v>
      </c>
      <c r="AV9" s="71" t="s">
        <v>259</v>
      </c>
      <c r="AW9" s="72" t="s">
        <v>132</v>
      </c>
      <c r="AX9" s="72">
        <v>48</v>
      </c>
      <c r="AY9" s="72">
        <v>48</v>
      </c>
      <c r="AZ9" s="72">
        <v>48</v>
      </c>
      <c r="BA9" s="72">
        <v>48</v>
      </c>
      <c r="BB9" s="72">
        <v>48</v>
      </c>
      <c r="BC9" s="73">
        <v>48</v>
      </c>
    </row>
    <row r="10" spans="1:55" x14ac:dyDescent="0.35">
      <c r="I10" s="77" t="s">
        <v>121</v>
      </c>
      <c r="J10" s="78" t="s">
        <v>71</v>
      </c>
      <c r="K10" s="78" t="s">
        <v>139</v>
      </c>
      <c r="L10" s="78">
        <v>80</v>
      </c>
      <c r="M10" s="78">
        <v>105</v>
      </c>
      <c r="N10" s="79">
        <v>65</v>
      </c>
      <c r="P10" s="68" t="s">
        <v>227</v>
      </c>
      <c r="Q10" s="69" t="s">
        <v>124</v>
      </c>
      <c r="R10" s="69">
        <v>65</v>
      </c>
      <c r="S10" s="69">
        <v>65</v>
      </c>
      <c r="T10" s="69">
        <v>60</v>
      </c>
      <c r="U10" s="69">
        <v>110</v>
      </c>
      <c r="V10" s="69">
        <v>95</v>
      </c>
      <c r="W10" s="70">
        <v>130</v>
      </c>
      <c r="Y10" s="77" t="s">
        <v>227</v>
      </c>
      <c r="Z10" s="78" t="s">
        <v>124</v>
      </c>
      <c r="AA10" s="78">
        <v>65</v>
      </c>
      <c r="AB10" s="78">
        <v>65</v>
      </c>
      <c r="AC10" s="78">
        <v>60</v>
      </c>
      <c r="AD10" s="78">
        <v>110</v>
      </c>
      <c r="AE10" s="78">
        <v>95</v>
      </c>
      <c r="AF10" s="79">
        <v>130</v>
      </c>
      <c r="AH10" s="97" t="s">
        <v>239</v>
      </c>
      <c r="AI10" s="98" t="s">
        <v>132</v>
      </c>
      <c r="AJ10" s="98">
        <v>65</v>
      </c>
      <c r="AK10" s="98">
        <v>90</v>
      </c>
      <c r="AL10" s="98">
        <v>65</v>
      </c>
      <c r="AM10" s="98">
        <v>61</v>
      </c>
      <c r="AN10" s="98">
        <v>61</v>
      </c>
      <c r="AO10" s="99">
        <v>100</v>
      </c>
      <c r="AQ10" s="104" t="s">
        <v>246</v>
      </c>
      <c r="AR10" s="105" t="s">
        <v>71</v>
      </c>
      <c r="AS10" s="106">
        <v>45982</v>
      </c>
      <c r="AT10" s="107">
        <v>2002</v>
      </c>
      <c r="AV10" t="s">
        <v>82</v>
      </c>
    </row>
    <row r="11" spans="1:55" x14ac:dyDescent="0.35">
      <c r="I11" s="80" t="s">
        <v>122</v>
      </c>
      <c r="J11" s="81" t="s">
        <v>79</v>
      </c>
      <c r="K11" s="81" t="s">
        <v>139</v>
      </c>
      <c r="L11" s="81">
        <v>40</v>
      </c>
      <c r="M11" s="81">
        <v>40</v>
      </c>
      <c r="N11" s="82">
        <v>35</v>
      </c>
      <c r="P11" t="s">
        <v>82</v>
      </c>
      <c r="Y11" s="71" t="s">
        <v>82</v>
      </c>
      <c r="Z11" s="72"/>
      <c r="AA11" s="72"/>
      <c r="AB11" s="72"/>
      <c r="AC11" s="72"/>
      <c r="AD11" s="72"/>
      <c r="AE11" s="72"/>
      <c r="AF11" s="73"/>
      <c r="AQ11" s="104" t="s">
        <v>247</v>
      </c>
      <c r="AR11" s="105" t="s">
        <v>75</v>
      </c>
      <c r="AS11" s="106">
        <v>45982</v>
      </c>
      <c r="AT11" s="107">
        <v>2002</v>
      </c>
      <c r="AV11" s="112" t="s">
        <v>51</v>
      </c>
      <c r="AW11" s="112" t="s">
        <v>67</v>
      </c>
      <c r="AX11" s="112" t="s">
        <v>184</v>
      </c>
      <c r="AY11" s="112" t="s">
        <v>185</v>
      </c>
      <c r="AZ11" s="112" t="s">
        <v>100</v>
      </c>
      <c r="BA11" s="112" t="s">
        <v>219</v>
      </c>
      <c r="BB11" s="112" t="s">
        <v>220</v>
      </c>
      <c r="BC11" s="112" t="s">
        <v>68</v>
      </c>
    </row>
    <row r="12" spans="1:55" x14ac:dyDescent="0.35">
      <c r="I12" s="77" t="s">
        <v>195</v>
      </c>
      <c r="J12" s="78" t="s">
        <v>79</v>
      </c>
      <c r="K12" s="78" t="s">
        <v>139</v>
      </c>
      <c r="L12" s="78">
        <v>80</v>
      </c>
      <c r="M12" s="78">
        <v>70</v>
      </c>
      <c r="N12" s="79">
        <v>65</v>
      </c>
      <c r="AQ12" s="104" t="s">
        <v>248</v>
      </c>
      <c r="AR12" s="105" t="s">
        <v>79</v>
      </c>
      <c r="AS12" s="106">
        <v>45982</v>
      </c>
      <c r="AT12" s="107">
        <v>2002</v>
      </c>
      <c r="AV12" t="s">
        <v>259</v>
      </c>
      <c r="AW12" t="s">
        <v>132</v>
      </c>
      <c r="AX12">
        <v>48</v>
      </c>
      <c r="AY12">
        <v>48</v>
      </c>
      <c r="AZ12">
        <v>48</v>
      </c>
      <c r="BA12">
        <v>48</v>
      </c>
      <c r="BB12">
        <v>48</v>
      </c>
      <c r="BC12">
        <v>48</v>
      </c>
    </row>
    <row r="13" spans="1:55" x14ac:dyDescent="0.35">
      <c r="I13" s="80" t="s">
        <v>196</v>
      </c>
      <c r="J13" s="81" t="s">
        <v>128</v>
      </c>
      <c r="K13" s="81" t="s">
        <v>149</v>
      </c>
      <c r="L13" s="81">
        <v>40</v>
      </c>
      <c r="M13" s="81">
        <v>80</v>
      </c>
      <c r="N13" s="82">
        <v>100</v>
      </c>
      <c r="Y13" s="74" t="s">
        <v>208</v>
      </c>
      <c r="Z13" s="75" t="s">
        <v>67</v>
      </c>
      <c r="AA13" s="75" t="s">
        <v>184</v>
      </c>
      <c r="AB13" s="75" t="s">
        <v>185</v>
      </c>
      <c r="AC13" s="75" t="s">
        <v>100</v>
      </c>
      <c r="AD13" s="75" t="s">
        <v>219</v>
      </c>
      <c r="AE13" s="75" t="s">
        <v>220</v>
      </c>
      <c r="AF13" s="76" t="s">
        <v>68</v>
      </c>
      <c r="AQ13" s="104" t="s">
        <v>249</v>
      </c>
      <c r="AR13" s="105" t="s">
        <v>71</v>
      </c>
      <c r="AS13" s="106">
        <v>45928</v>
      </c>
      <c r="AT13" s="107">
        <v>2006</v>
      </c>
      <c r="AV13" t="s">
        <v>259</v>
      </c>
      <c r="AW13" t="s">
        <v>132</v>
      </c>
      <c r="AX13">
        <v>48</v>
      </c>
      <c r="AY13">
        <v>48</v>
      </c>
      <c r="AZ13">
        <v>48</v>
      </c>
      <c r="BA13">
        <v>48</v>
      </c>
      <c r="BB13">
        <v>48</v>
      </c>
      <c r="BC13">
        <v>48</v>
      </c>
    </row>
    <row r="14" spans="1:55" x14ac:dyDescent="0.35">
      <c r="I14" s="77" t="s">
        <v>197</v>
      </c>
      <c r="J14" s="78" t="s">
        <v>128</v>
      </c>
      <c r="K14" s="78" t="s">
        <v>149</v>
      </c>
      <c r="L14" s="78">
        <v>55</v>
      </c>
      <c r="M14" s="78">
        <v>95</v>
      </c>
      <c r="N14" s="79">
        <v>115</v>
      </c>
      <c r="Y14" s="77" t="s">
        <v>221</v>
      </c>
      <c r="Z14" s="78" t="s">
        <v>79</v>
      </c>
      <c r="AA14" s="78">
        <v>20</v>
      </c>
      <c r="AB14" s="78">
        <v>10</v>
      </c>
      <c r="AC14" s="78">
        <v>55</v>
      </c>
      <c r="AD14" s="78">
        <v>15</v>
      </c>
      <c r="AE14" s="78">
        <v>20</v>
      </c>
      <c r="AF14" s="79">
        <v>80</v>
      </c>
      <c r="AQ14" s="104" t="s">
        <v>250</v>
      </c>
      <c r="AR14" s="105" t="s">
        <v>75</v>
      </c>
      <c r="AS14" s="106">
        <v>45928</v>
      </c>
      <c r="AT14" s="107">
        <v>2006</v>
      </c>
      <c r="AV14" t="s">
        <v>259</v>
      </c>
      <c r="AW14" t="s">
        <v>132</v>
      </c>
      <c r="AX14">
        <v>48</v>
      </c>
      <c r="AY14">
        <v>48</v>
      </c>
      <c r="AZ14">
        <v>48</v>
      </c>
      <c r="BA14">
        <v>48</v>
      </c>
      <c r="BB14">
        <v>48</v>
      </c>
      <c r="BC14">
        <v>48</v>
      </c>
    </row>
    <row r="15" spans="1:55" x14ac:dyDescent="0.35">
      <c r="I15" s="80" t="s">
        <v>198</v>
      </c>
      <c r="J15" s="81" t="s">
        <v>128</v>
      </c>
      <c r="K15" s="81" t="s">
        <v>149</v>
      </c>
      <c r="L15" s="81">
        <v>80</v>
      </c>
      <c r="M15" s="81">
        <v>120</v>
      </c>
      <c r="N15" s="82">
        <v>130</v>
      </c>
      <c r="Y15" s="80" t="s">
        <v>222</v>
      </c>
      <c r="Z15" s="81" t="s">
        <v>79</v>
      </c>
      <c r="AA15" s="81">
        <v>95</v>
      </c>
      <c r="AB15" s="81">
        <v>125</v>
      </c>
      <c r="AC15" s="81">
        <v>79</v>
      </c>
      <c r="AD15" s="81">
        <v>60</v>
      </c>
      <c r="AE15" s="81">
        <v>100</v>
      </c>
      <c r="AF15" s="82">
        <v>81</v>
      </c>
      <c r="AQ15" s="104" t="s">
        <v>251</v>
      </c>
      <c r="AR15" s="105" t="s">
        <v>79</v>
      </c>
      <c r="AS15" s="106">
        <v>45928</v>
      </c>
      <c r="AT15" s="107">
        <v>2006</v>
      </c>
      <c r="AV15" t="s">
        <v>260</v>
      </c>
      <c r="AW15" t="s">
        <v>187</v>
      </c>
      <c r="AX15">
        <v>100</v>
      </c>
      <c r="AY15">
        <v>100</v>
      </c>
      <c r="AZ15">
        <v>100</v>
      </c>
      <c r="BA15">
        <v>100</v>
      </c>
      <c r="BB15">
        <v>100</v>
      </c>
      <c r="BC15">
        <v>100</v>
      </c>
    </row>
    <row r="16" spans="1:55" x14ac:dyDescent="0.35">
      <c r="I16" s="77" t="s">
        <v>199</v>
      </c>
      <c r="J16" s="78" t="s">
        <v>75</v>
      </c>
      <c r="K16" s="78"/>
      <c r="L16" s="78">
        <v>50</v>
      </c>
      <c r="M16" s="78">
        <v>85</v>
      </c>
      <c r="N16" s="79">
        <v>55</v>
      </c>
      <c r="Y16" s="77" t="s">
        <v>223</v>
      </c>
      <c r="Z16" s="78" t="s">
        <v>79</v>
      </c>
      <c r="AA16" s="78">
        <v>130</v>
      </c>
      <c r="AB16" s="78">
        <v>85</v>
      </c>
      <c r="AC16" s="78">
        <v>80</v>
      </c>
      <c r="AD16" s="78">
        <v>85</v>
      </c>
      <c r="AE16" s="78">
        <v>95</v>
      </c>
      <c r="AF16" s="79">
        <v>60</v>
      </c>
      <c r="AQ16" s="104" t="s">
        <v>252</v>
      </c>
      <c r="AR16" s="105" t="s">
        <v>71</v>
      </c>
      <c r="AS16" s="106">
        <v>45918</v>
      </c>
      <c r="AT16" s="107">
        <v>2010</v>
      </c>
      <c r="AV16" t="s">
        <v>259</v>
      </c>
      <c r="AW16" t="s">
        <v>132</v>
      </c>
      <c r="AX16">
        <v>48</v>
      </c>
      <c r="AY16">
        <v>48</v>
      </c>
      <c r="AZ16">
        <v>48</v>
      </c>
      <c r="BA16">
        <v>48</v>
      </c>
      <c r="BB16">
        <v>48</v>
      </c>
      <c r="BC16">
        <v>48</v>
      </c>
    </row>
    <row r="17" spans="1:55" x14ac:dyDescent="0.35">
      <c r="A17" t="s">
        <v>217</v>
      </c>
      <c r="I17" s="71" t="s">
        <v>177</v>
      </c>
      <c r="J17" s="72"/>
      <c r="K17" s="72"/>
      <c r="L17" s="72"/>
      <c r="M17" s="72"/>
      <c r="N17" s="73"/>
      <c r="Y17" s="80" t="s">
        <v>224</v>
      </c>
      <c r="Z17" s="81" t="s">
        <v>132</v>
      </c>
      <c r="AA17" s="81">
        <v>48</v>
      </c>
      <c r="AB17" s="81">
        <v>48</v>
      </c>
      <c r="AC17" s="81">
        <v>48</v>
      </c>
      <c r="AD17" s="81">
        <v>48</v>
      </c>
      <c r="AE17" s="81">
        <v>48</v>
      </c>
      <c r="AF17" s="82">
        <v>48</v>
      </c>
      <c r="AQ17" s="104" t="s">
        <v>253</v>
      </c>
      <c r="AR17" s="105" t="s">
        <v>75</v>
      </c>
      <c r="AS17" s="106">
        <v>45918</v>
      </c>
      <c r="AT17" s="107">
        <v>2010</v>
      </c>
      <c r="AV17" t="s">
        <v>259</v>
      </c>
      <c r="AW17" t="s">
        <v>132</v>
      </c>
      <c r="AX17">
        <v>48</v>
      </c>
      <c r="AY17">
        <v>48</v>
      </c>
      <c r="AZ17">
        <v>48</v>
      </c>
      <c r="BA17">
        <v>48</v>
      </c>
      <c r="BB17">
        <v>48</v>
      </c>
      <c r="BC17">
        <v>48</v>
      </c>
    </row>
    <row r="18" spans="1:55" x14ac:dyDescent="0.35">
      <c r="A18" s="74" t="s">
        <v>208</v>
      </c>
      <c r="B18" s="75" t="s">
        <v>67</v>
      </c>
      <c r="C18" s="76" t="s">
        <v>68</v>
      </c>
      <c r="E18" s="83"/>
      <c r="Y18" s="77" t="s">
        <v>225</v>
      </c>
      <c r="Z18" s="78" t="s">
        <v>132</v>
      </c>
      <c r="AA18" s="78">
        <v>55</v>
      </c>
      <c r="AB18" s="78">
        <v>55</v>
      </c>
      <c r="AC18" s="78">
        <v>50</v>
      </c>
      <c r="AD18" s="78">
        <v>45</v>
      </c>
      <c r="AE18" s="78">
        <v>65</v>
      </c>
      <c r="AF18" s="79">
        <v>55</v>
      </c>
      <c r="AQ18" s="104" t="s">
        <v>254</v>
      </c>
      <c r="AR18" s="105" t="s">
        <v>79</v>
      </c>
      <c r="AS18" s="106">
        <v>45918</v>
      </c>
      <c r="AT18" s="107">
        <v>2010</v>
      </c>
      <c r="AV18" t="s">
        <v>259</v>
      </c>
      <c r="AW18" t="s">
        <v>132</v>
      </c>
      <c r="AX18">
        <v>48</v>
      </c>
      <c r="AY18">
        <v>48</v>
      </c>
      <c r="AZ18">
        <v>48</v>
      </c>
      <c r="BA18">
        <v>48</v>
      </c>
      <c r="BB18">
        <v>48</v>
      </c>
      <c r="BC18">
        <v>48</v>
      </c>
    </row>
    <row r="19" spans="1:55" x14ac:dyDescent="0.35">
      <c r="A19" s="77" t="s">
        <v>209</v>
      </c>
      <c r="B19" s="78" t="s">
        <v>71</v>
      </c>
      <c r="C19" s="79">
        <v>45</v>
      </c>
      <c r="Y19" s="80" t="s">
        <v>226</v>
      </c>
      <c r="Z19" s="81" t="s">
        <v>79</v>
      </c>
      <c r="AA19" s="81">
        <v>130</v>
      </c>
      <c r="AB19" s="81">
        <v>65</v>
      </c>
      <c r="AC19" s="81">
        <v>60</v>
      </c>
      <c r="AD19" s="81">
        <v>110</v>
      </c>
      <c r="AE19" s="81">
        <v>95</v>
      </c>
      <c r="AF19" s="82">
        <v>65</v>
      </c>
      <c r="AQ19" s="104" t="s">
        <v>255</v>
      </c>
      <c r="AR19" s="105" t="s">
        <v>71</v>
      </c>
      <c r="AS19" s="106">
        <v>45942</v>
      </c>
      <c r="AT19" s="107">
        <v>2013</v>
      </c>
    </row>
    <row r="20" spans="1:55" x14ac:dyDescent="0.35">
      <c r="A20" s="80" t="s">
        <v>210</v>
      </c>
      <c r="B20" s="81" t="s">
        <v>71</v>
      </c>
      <c r="C20" s="82">
        <v>60</v>
      </c>
      <c r="Y20" s="77" t="s">
        <v>227</v>
      </c>
      <c r="Z20" s="78" t="s">
        <v>124</v>
      </c>
      <c r="AA20" s="78">
        <v>65</v>
      </c>
      <c r="AB20" s="78">
        <v>65</v>
      </c>
      <c r="AC20" s="78">
        <v>60</v>
      </c>
      <c r="AD20" s="78">
        <v>110</v>
      </c>
      <c r="AE20" s="78">
        <v>95</v>
      </c>
      <c r="AF20" s="79">
        <v>130</v>
      </c>
      <c r="AQ20" s="104" t="s">
        <v>256</v>
      </c>
      <c r="AR20" s="105" t="s">
        <v>75</v>
      </c>
      <c r="AS20" s="106">
        <v>45942</v>
      </c>
      <c r="AT20" s="107">
        <v>2013</v>
      </c>
    </row>
    <row r="21" spans="1:55" x14ac:dyDescent="0.35">
      <c r="A21" s="77" t="s">
        <v>211</v>
      </c>
      <c r="B21" s="78" t="s">
        <v>71</v>
      </c>
      <c r="C21" s="79">
        <v>80</v>
      </c>
      <c r="Y21" t="s">
        <v>82</v>
      </c>
      <c r="AQ21" s="104" t="s">
        <v>257</v>
      </c>
      <c r="AR21" s="105" t="s">
        <v>79</v>
      </c>
      <c r="AS21" s="106">
        <v>45942</v>
      </c>
      <c r="AT21" s="107">
        <v>2013</v>
      </c>
    </row>
    <row r="22" spans="1:55" x14ac:dyDescent="0.35">
      <c r="A22" s="80" t="s">
        <v>212</v>
      </c>
      <c r="B22" s="81" t="s">
        <v>75</v>
      </c>
      <c r="C22" s="82">
        <v>65</v>
      </c>
      <c r="Y22" s="87" t="s">
        <v>208</v>
      </c>
      <c r="Z22" s="87" t="s">
        <v>67</v>
      </c>
      <c r="AA22" s="87" t="s">
        <v>184</v>
      </c>
      <c r="AB22" s="87" t="s">
        <v>185</v>
      </c>
      <c r="AC22" s="87" t="s">
        <v>100</v>
      </c>
      <c r="AD22" s="87" t="s">
        <v>219</v>
      </c>
      <c r="AE22" s="87" t="s">
        <v>220</v>
      </c>
      <c r="AF22" s="87" t="s">
        <v>68</v>
      </c>
      <c r="AQ22" s="108" t="s">
        <v>82</v>
      </c>
      <c r="AR22" s="109"/>
      <c r="AS22" s="109"/>
      <c r="AT22" s="110"/>
    </row>
    <row r="23" spans="1:55" x14ac:dyDescent="0.35">
      <c r="A23" s="77" t="s">
        <v>213</v>
      </c>
      <c r="B23" s="78" t="s">
        <v>75</v>
      </c>
      <c r="C23" s="79">
        <v>80</v>
      </c>
      <c r="Y23" s="88" t="s">
        <v>221</v>
      </c>
      <c r="Z23" s="88" t="s">
        <v>79</v>
      </c>
      <c r="AA23" s="88">
        <v>20</v>
      </c>
      <c r="AB23" s="88">
        <v>10</v>
      </c>
      <c r="AC23" s="88">
        <v>55</v>
      </c>
      <c r="AD23" s="88">
        <v>15</v>
      </c>
      <c r="AE23" s="88">
        <v>20</v>
      </c>
      <c r="AF23" s="88">
        <v>80</v>
      </c>
    </row>
    <row r="24" spans="1:55" x14ac:dyDescent="0.35">
      <c r="A24" s="80" t="s">
        <v>214</v>
      </c>
      <c r="B24" s="81" t="s">
        <v>75</v>
      </c>
      <c r="C24" s="82">
        <v>100</v>
      </c>
      <c r="Y24" s="85" t="s">
        <v>222</v>
      </c>
      <c r="Z24" s="85" t="s">
        <v>79</v>
      </c>
      <c r="AA24" s="85">
        <v>95</v>
      </c>
      <c r="AB24" s="85">
        <v>125</v>
      </c>
      <c r="AC24" s="85">
        <v>79</v>
      </c>
      <c r="AD24" s="85">
        <v>60</v>
      </c>
      <c r="AE24" s="85">
        <v>100</v>
      </c>
      <c r="AF24" s="85">
        <v>81</v>
      </c>
    </row>
    <row r="25" spans="1:55" x14ac:dyDescent="0.35">
      <c r="A25" s="77" t="s">
        <v>215</v>
      </c>
      <c r="B25" s="78" t="s">
        <v>79</v>
      </c>
      <c r="C25" s="79">
        <v>43</v>
      </c>
      <c r="Y25" s="84" t="s">
        <v>223</v>
      </c>
      <c r="Z25" s="84" t="s">
        <v>79</v>
      </c>
      <c r="AA25" s="84">
        <v>130</v>
      </c>
      <c r="AB25" s="84">
        <v>85</v>
      </c>
      <c r="AC25" s="84">
        <v>80</v>
      </c>
      <c r="AD25" s="84">
        <v>85</v>
      </c>
      <c r="AE25" s="84">
        <v>95</v>
      </c>
      <c r="AF25" s="84">
        <v>60</v>
      </c>
    </row>
    <row r="26" spans="1:55" x14ac:dyDescent="0.35">
      <c r="A26" s="71" t="s">
        <v>216</v>
      </c>
      <c r="B26" s="72" t="s">
        <v>79</v>
      </c>
      <c r="C26" s="73">
        <v>58</v>
      </c>
      <c r="Y26" s="85" t="s">
        <v>224</v>
      </c>
      <c r="Z26" s="85" t="s">
        <v>132</v>
      </c>
      <c r="AA26" s="85">
        <v>48</v>
      </c>
      <c r="AB26" s="85">
        <v>48</v>
      </c>
      <c r="AC26" s="85">
        <v>48</v>
      </c>
      <c r="AD26" s="85">
        <v>48</v>
      </c>
      <c r="AE26" s="85">
        <v>48</v>
      </c>
      <c r="AF26" s="85">
        <v>48</v>
      </c>
    </row>
    <row r="27" spans="1:55" x14ac:dyDescent="0.35">
      <c r="A27" t="s">
        <v>82</v>
      </c>
      <c r="Y27" s="84" t="s">
        <v>225</v>
      </c>
      <c r="Z27" s="84" t="s">
        <v>132</v>
      </c>
      <c r="AA27" s="84">
        <v>55</v>
      </c>
      <c r="AB27" s="84">
        <v>55</v>
      </c>
      <c r="AC27" s="84">
        <v>50</v>
      </c>
      <c r="AD27" s="84">
        <v>45</v>
      </c>
      <c r="AE27" s="84">
        <v>65</v>
      </c>
      <c r="AF27" s="84">
        <v>55</v>
      </c>
    </row>
    <row r="28" spans="1:55" x14ac:dyDescent="0.35">
      <c r="Y28" s="85" t="s">
        <v>226</v>
      </c>
      <c r="Z28" s="85" t="s">
        <v>79</v>
      </c>
      <c r="AA28" s="85">
        <v>130</v>
      </c>
      <c r="AB28" s="85">
        <v>65</v>
      </c>
      <c r="AC28" s="85">
        <v>60</v>
      </c>
      <c r="AD28" s="85">
        <v>110</v>
      </c>
      <c r="AE28" s="85">
        <v>95</v>
      </c>
      <c r="AF28" s="85">
        <v>65</v>
      </c>
    </row>
    <row r="29" spans="1:55" x14ac:dyDescent="0.35">
      <c r="Y29" s="84" t="s">
        <v>227</v>
      </c>
      <c r="Z29" s="84" t="s">
        <v>124</v>
      </c>
      <c r="AA29" s="84">
        <v>65</v>
      </c>
      <c r="AB29" s="84">
        <v>65</v>
      </c>
      <c r="AC29" s="84">
        <v>60</v>
      </c>
      <c r="AD29" s="84">
        <v>110</v>
      </c>
      <c r="AE29" s="84">
        <v>95</v>
      </c>
      <c r="AF29" s="84">
        <v>130</v>
      </c>
    </row>
    <row r="30" spans="1:55" x14ac:dyDescent="0.35">
      <c r="Y30" s="86" t="s">
        <v>82</v>
      </c>
      <c r="Z30" s="86"/>
      <c r="AA30" s="86"/>
      <c r="AB30" s="86"/>
      <c r="AC30" s="86"/>
      <c r="AD30" s="86"/>
      <c r="AE30" s="86"/>
      <c r="AF30" s="86"/>
    </row>
  </sheetData>
  <conditionalFormatting sqref="C21:C26"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4:W10">
    <cfRule type="cellIs" dxfId="31" priority="26" operator="equal">
      <formula>48</formula>
    </cfRule>
  </conditionalFormatting>
  <conditionalFormatting sqref="AA4:AA10">
    <cfRule type="cellIs" dxfId="30" priority="25" operator="greaterThan">
      <formula>75</formula>
    </cfRule>
  </conditionalFormatting>
  <conditionalFormatting sqref="Y4:Y10">
    <cfRule type="cellIs" dxfId="29" priority="22" operator="greaterThan">
      <formula>"Gyarados"</formula>
    </cfRule>
    <cfRule type="cellIs" dxfId="28" priority="23" operator="greaterThan">
      <formula>"Gyarados"</formula>
    </cfRule>
    <cfRule type="cellIs" dxfId="27" priority="24" operator="greaterThan">
      <formula>"gyarados"</formula>
    </cfRule>
  </conditionalFormatting>
  <conditionalFormatting sqref="AA14 AA20">
    <cfRule type="cellIs" dxfId="26" priority="21" operator="greaterThan">
      <formula>75</formula>
    </cfRule>
  </conditionalFormatting>
  <conditionalFormatting sqref="Y14:Y20">
    <cfRule type="cellIs" dxfId="25" priority="14" operator="greaterThan">
      <formula>"Gyarados"</formula>
    </cfRule>
    <cfRule type="cellIs" dxfId="24" priority="15" operator="greaterThan">
      <formula>"Ditto"</formula>
    </cfRule>
    <cfRule type="cellIs" dxfId="23" priority="16" operator="greaterThan">
      <formula>"Gyarados"</formula>
    </cfRule>
    <cfRule type="cellIs" dxfId="22" priority="17" operator="greaterThan">
      <formula>"Gyarados"</formula>
    </cfRule>
    <cfRule type="cellIs" dxfId="21" priority="18" operator="greaterThan">
      <formula>"Gyarados"</formula>
    </cfRule>
    <cfRule type="cellIs" dxfId="20" priority="19" operator="greaterThan">
      <formula>"Gyarados"</formula>
    </cfRule>
    <cfRule type="cellIs" dxfId="19" priority="20" operator="greaterThan">
      <formula>"gyarados"</formula>
    </cfRule>
  </conditionalFormatting>
  <conditionalFormatting sqref="Z14:Z20">
    <cfRule type="cellIs" dxfId="18" priority="12" operator="lessThan">
      <formula>"Electric"</formula>
    </cfRule>
    <cfRule type="cellIs" dxfId="17" priority="13" operator="lessThan">
      <formula>"Electric"</formula>
    </cfRule>
  </conditionalFormatting>
  <conditionalFormatting sqref="AA14:AA20">
    <cfRule type="cellIs" dxfId="16" priority="11" operator="lessThan">
      <formula>50</formula>
    </cfRule>
  </conditionalFormatting>
  <conditionalFormatting sqref="Z23:Z29">
    <cfRule type="cellIs" dxfId="15" priority="10" operator="lessThan">
      <formula>"Electric"</formula>
    </cfRule>
  </conditionalFormatting>
  <conditionalFormatting sqref="Z22:Z29">
    <cfRule type="cellIs" dxfId="14" priority="9" operator="lessThan">
      <formula>"Electirc"</formula>
    </cfRule>
  </conditionalFormatting>
  <conditionalFormatting sqref="AH4:AH10">
    <cfRule type="containsText" dxfId="13" priority="8" operator="containsText" text="      Pidge">
      <formula>NOT(ISERROR(SEARCH("      Pidge",AH4)))</formula>
    </cfRule>
  </conditionalFormatting>
  <conditionalFormatting sqref="AJ4:AO10">
    <cfRule type="containsText" dxfId="12" priority="6" operator="containsText" text="7">
      <formula>NOT(ISERROR(SEARCH("7",AJ4)))</formula>
    </cfRule>
    <cfRule type="containsText" dxfId="11" priority="7" operator="containsText" text="7">
      <formula>NOT(ISERROR(SEARCH("7",AJ4)))</formula>
    </cfRule>
  </conditionalFormatting>
  <conditionalFormatting sqref="AS4:AS21">
    <cfRule type="timePeriod" dxfId="10" priority="3" timePeriod="nextMonth">
      <formula>AND(MONTH(AS4)=MONTH(EDATE(TODAY(),0+1)),YEAR(AS4)=YEAR(EDATE(TODAY(),0+1)))</formula>
    </cfRule>
    <cfRule type="timePeriod" dxfId="9" priority="4" timePeriod="lastMonth">
      <formula>AND(MONTH(AS4)=MONTH(EDATE(TODAY(),0-1)),YEAR(AS4)=YEAR(EDATE(TODAY(),0-1)))</formula>
    </cfRule>
    <cfRule type="timePeriod" dxfId="8" priority="5" timePeriod="nextMonth">
      <formula>AND(MONTH(AS4)=MONTH(EDATE(TODAY(),0+1)),YEAR(AS4)=YEAR(EDATE(TODAY(),0+1)))</formula>
    </cfRule>
  </conditionalFormatting>
  <conditionalFormatting sqref="AV3:BC9">
    <cfRule type="duplicateValues" dxfId="7" priority="2"/>
  </conditionalFormatting>
  <conditionalFormatting sqref="AV11:BC19">
    <cfRule type="uniqueValues" dxfId="6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zoomScale="89" zoomScaleNormal="89" workbookViewId="0">
      <selection activeCell="L8" sqref="L8"/>
    </sheetView>
  </sheetViews>
  <sheetFormatPr defaultRowHeight="14.5" x14ac:dyDescent="0.35"/>
  <cols>
    <col min="1" max="1" width="16.1796875" customWidth="1"/>
    <col min="5" max="5" width="15" bestFit="1" customWidth="1"/>
    <col min="9" max="9" width="14.90625" customWidth="1"/>
  </cols>
  <sheetData>
    <row r="1" spans="1:11" ht="31" x14ac:dyDescent="0.35">
      <c r="A1" s="113" t="s">
        <v>261</v>
      </c>
      <c r="E1" t="s">
        <v>284</v>
      </c>
      <c r="I1" s="114" t="s">
        <v>285</v>
      </c>
    </row>
    <row r="3" spans="1:11" x14ac:dyDescent="0.35">
      <c r="A3" s="85" t="s">
        <v>208</v>
      </c>
      <c r="B3" s="85" t="s">
        <v>67</v>
      </c>
      <c r="C3" s="85" t="s">
        <v>68</v>
      </c>
      <c r="E3" s="85" t="s">
        <v>208</v>
      </c>
      <c r="F3" s="85" t="s">
        <v>67</v>
      </c>
      <c r="G3" s="85" t="s">
        <v>68</v>
      </c>
      <c r="I3" s="112" t="s">
        <v>208</v>
      </c>
      <c r="J3" s="112" t="s">
        <v>67</v>
      </c>
      <c r="K3" s="112" t="s">
        <v>184</v>
      </c>
    </row>
    <row r="4" spans="1:11" x14ac:dyDescent="0.35">
      <c r="A4" t="s">
        <v>279</v>
      </c>
      <c r="B4" t="s">
        <v>124</v>
      </c>
      <c r="C4">
        <v>110</v>
      </c>
      <c r="E4" t="s">
        <v>279</v>
      </c>
      <c r="F4" t="s">
        <v>124</v>
      </c>
      <c r="G4">
        <v>110</v>
      </c>
      <c r="I4" t="s">
        <v>286</v>
      </c>
      <c r="J4" t="s">
        <v>139</v>
      </c>
      <c r="K4">
        <v>81</v>
      </c>
    </row>
    <row r="5" spans="1:11" x14ac:dyDescent="0.35">
      <c r="A5" t="s">
        <v>271</v>
      </c>
      <c r="B5" t="s">
        <v>132</v>
      </c>
      <c r="C5">
        <v>101</v>
      </c>
      <c r="E5" t="s">
        <v>271</v>
      </c>
      <c r="F5" t="s">
        <v>132</v>
      </c>
      <c r="G5">
        <v>101</v>
      </c>
      <c r="I5" t="s">
        <v>287</v>
      </c>
      <c r="J5" t="s">
        <v>288</v>
      </c>
      <c r="K5">
        <v>70</v>
      </c>
    </row>
    <row r="6" spans="1:11" x14ac:dyDescent="0.35">
      <c r="A6" t="s">
        <v>214</v>
      </c>
      <c r="B6" t="s">
        <v>75</v>
      </c>
      <c r="C6">
        <v>100</v>
      </c>
      <c r="E6" t="s">
        <v>214</v>
      </c>
      <c r="F6" t="s">
        <v>75</v>
      </c>
      <c r="G6">
        <v>100</v>
      </c>
      <c r="I6" t="s">
        <v>289</v>
      </c>
      <c r="J6" t="s">
        <v>288</v>
      </c>
      <c r="K6">
        <v>95</v>
      </c>
    </row>
    <row r="7" spans="1:11" x14ac:dyDescent="0.35">
      <c r="A7" t="s">
        <v>275</v>
      </c>
      <c r="B7" t="s">
        <v>132</v>
      </c>
      <c r="C7">
        <v>100</v>
      </c>
      <c r="E7" t="s">
        <v>275</v>
      </c>
      <c r="F7" t="s">
        <v>132</v>
      </c>
      <c r="G7">
        <v>100</v>
      </c>
      <c r="I7" t="s">
        <v>290</v>
      </c>
      <c r="J7" t="s">
        <v>75</v>
      </c>
      <c r="K7">
        <v>38</v>
      </c>
    </row>
    <row r="8" spans="1:11" x14ac:dyDescent="0.35">
      <c r="A8" t="s">
        <v>273</v>
      </c>
      <c r="B8" t="s">
        <v>132</v>
      </c>
      <c r="C8">
        <v>97</v>
      </c>
      <c r="E8" t="s">
        <v>273</v>
      </c>
      <c r="F8" t="s">
        <v>132</v>
      </c>
      <c r="G8">
        <v>97</v>
      </c>
      <c r="I8" t="s">
        <v>291</v>
      </c>
      <c r="J8" t="s">
        <v>75</v>
      </c>
      <c r="K8">
        <v>73</v>
      </c>
    </row>
    <row r="9" spans="1:11" x14ac:dyDescent="0.35">
      <c r="A9" t="s">
        <v>278</v>
      </c>
      <c r="B9" t="s">
        <v>124</v>
      </c>
      <c r="C9">
        <v>90</v>
      </c>
      <c r="E9" t="s">
        <v>278</v>
      </c>
      <c r="F9" t="s">
        <v>124</v>
      </c>
      <c r="G9">
        <v>90</v>
      </c>
      <c r="I9" t="s">
        <v>292</v>
      </c>
      <c r="J9" t="s">
        <v>132</v>
      </c>
      <c r="K9">
        <v>115</v>
      </c>
    </row>
    <row r="10" spans="1:11" x14ac:dyDescent="0.35">
      <c r="A10" t="s">
        <v>211</v>
      </c>
      <c r="B10" t="s">
        <v>71</v>
      </c>
      <c r="C10">
        <v>80</v>
      </c>
      <c r="E10" t="s">
        <v>211</v>
      </c>
      <c r="F10" t="s">
        <v>71</v>
      </c>
      <c r="G10">
        <v>80</v>
      </c>
      <c r="I10" t="s">
        <v>293</v>
      </c>
      <c r="J10" t="s">
        <v>132</v>
      </c>
      <c r="K10">
        <v>140</v>
      </c>
    </row>
    <row r="11" spans="1:11" x14ac:dyDescent="0.35">
      <c r="A11" t="s">
        <v>213</v>
      </c>
      <c r="B11" t="s">
        <v>75</v>
      </c>
      <c r="C11">
        <v>80</v>
      </c>
      <c r="E11" t="s">
        <v>213</v>
      </c>
      <c r="F11" t="s">
        <v>75</v>
      </c>
      <c r="G11">
        <v>80</v>
      </c>
      <c r="I11" t="s">
        <v>294</v>
      </c>
      <c r="J11" t="s">
        <v>139</v>
      </c>
      <c r="K11">
        <v>40</v>
      </c>
    </row>
    <row r="12" spans="1:11" x14ac:dyDescent="0.35">
      <c r="A12" t="s">
        <v>277</v>
      </c>
      <c r="B12" t="s">
        <v>139</v>
      </c>
      <c r="C12">
        <v>80</v>
      </c>
      <c r="E12" t="s">
        <v>277</v>
      </c>
      <c r="F12" t="s">
        <v>139</v>
      </c>
      <c r="G12">
        <v>80</v>
      </c>
      <c r="I12" t="s">
        <v>295</v>
      </c>
      <c r="J12" t="s">
        <v>139</v>
      </c>
      <c r="K12">
        <v>75</v>
      </c>
    </row>
    <row r="13" spans="1:11" x14ac:dyDescent="0.35">
      <c r="A13" t="s">
        <v>262</v>
      </c>
      <c r="B13" t="s">
        <v>79</v>
      </c>
      <c r="C13">
        <v>78</v>
      </c>
      <c r="E13" t="s">
        <v>262</v>
      </c>
      <c r="F13" t="s">
        <v>79</v>
      </c>
      <c r="G13">
        <v>78</v>
      </c>
      <c r="I13" t="s">
        <v>296</v>
      </c>
      <c r="J13" t="s">
        <v>71</v>
      </c>
      <c r="K13">
        <v>45</v>
      </c>
    </row>
    <row r="14" spans="1:11" x14ac:dyDescent="0.35">
      <c r="A14" t="s">
        <v>268</v>
      </c>
      <c r="B14" t="s">
        <v>135</v>
      </c>
      <c r="C14">
        <v>75</v>
      </c>
      <c r="E14" t="s">
        <v>268</v>
      </c>
      <c r="F14" t="s">
        <v>135</v>
      </c>
      <c r="G14">
        <v>75</v>
      </c>
      <c r="I14" t="s">
        <v>297</v>
      </c>
      <c r="K14">
        <v>77.2</v>
      </c>
    </row>
    <row r="15" spans="1:11" x14ac:dyDescent="0.35">
      <c r="A15" t="s">
        <v>272</v>
      </c>
      <c r="B15" t="s">
        <v>132</v>
      </c>
      <c r="C15">
        <v>72</v>
      </c>
      <c r="E15" t="s">
        <v>272</v>
      </c>
      <c r="F15" t="s">
        <v>132</v>
      </c>
      <c r="G15">
        <v>72</v>
      </c>
      <c r="I15" t="s">
        <v>82</v>
      </c>
    </row>
    <row r="16" spans="1:11" x14ac:dyDescent="0.35">
      <c r="A16" t="s">
        <v>270</v>
      </c>
      <c r="B16" t="s">
        <v>132</v>
      </c>
      <c r="C16">
        <v>71</v>
      </c>
      <c r="E16" t="s">
        <v>270</v>
      </c>
      <c r="F16" t="s">
        <v>132</v>
      </c>
      <c r="G16">
        <v>71</v>
      </c>
    </row>
    <row r="17" spans="1:7" x14ac:dyDescent="0.35">
      <c r="A17" t="s">
        <v>265</v>
      </c>
      <c r="B17" t="s">
        <v>135</v>
      </c>
      <c r="C17">
        <v>70</v>
      </c>
      <c r="E17" t="s">
        <v>265</v>
      </c>
      <c r="F17" t="s">
        <v>135</v>
      </c>
      <c r="G17">
        <v>70</v>
      </c>
    </row>
    <row r="18" spans="1:7" x14ac:dyDescent="0.35">
      <c r="A18" t="s">
        <v>274</v>
      </c>
      <c r="B18" t="s">
        <v>132</v>
      </c>
      <c r="C18">
        <v>70</v>
      </c>
      <c r="E18" t="s">
        <v>274</v>
      </c>
      <c r="F18" t="s">
        <v>132</v>
      </c>
      <c r="G18">
        <v>70</v>
      </c>
    </row>
    <row r="19" spans="1:7" x14ac:dyDescent="0.35">
      <c r="A19" t="s">
        <v>212</v>
      </c>
      <c r="B19" t="s">
        <v>75</v>
      </c>
      <c r="C19">
        <v>65</v>
      </c>
      <c r="E19" t="s">
        <v>212</v>
      </c>
      <c r="F19" t="s">
        <v>75</v>
      </c>
      <c r="G19">
        <v>65</v>
      </c>
    </row>
    <row r="20" spans="1:7" x14ac:dyDescent="0.35">
      <c r="A20" t="s">
        <v>281</v>
      </c>
      <c r="B20" t="s">
        <v>149</v>
      </c>
      <c r="C20">
        <v>65</v>
      </c>
      <c r="E20" t="s">
        <v>281</v>
      </c>
      <c r="F20" t="s">
        <v>149</v>
      </c>
      <c r="G20">
        <v>65</v>
      </c>
    </row>
    <row r="21" spans="1:7" x14ac:dyDescent="0.35">
      <c r="A21" t="s">
        <v>210</v>
      </c>
      <c r="B21" t="s">
        <v>71</v>
      </c>
      <c r="C21">
        <v>60</v>
      </c>
      <c r="E21" t="s">
        <v>210</v>
      </c>
      <c r="F21" t="s">
        <v>71</v>
      </c>
      <c r="G21">
        <v>60</v>
      </c>
    </row>
    <row r="22" spans="1:7" x14ac:dyDescent="0.35">
      <c r="A22" t="s">
        <v>216</v>
      </c>
      <c r="B22" t="s">
        <v>79</v>
      </c>
      <c r="C22">
        <v>58</v>
      </c>
      <c r="E22" t="s">
        <v>216</v>
      </c>
      <c r="F22" t="s">
        <v>79</v>
      </c>
      <c r="G22">
        <v>58</v>
      </c>
    </row>
    <row r="23" spans="1:7" x14ac:dyDescent="0.35">
      <c r="A23" t="s">
        <v>269</v>
      </c>
      <c r="B23" t="s">
        <v>132</v>
      </c>
      <c r="C23">
        <v>56</v>
      </c>
      <c r="E23" t="s">
        <v>269</v>
      </c>
      <c r="F23" t="s">
        <v>132</v>
      </c>
      <c r="G23">
        <v>56</v>
      </c>
    </row>
    <row r="24" spans="1:7" x14ac:dyDescent="0.35">
      <c r="A24" t="s">
        <v>283</v>
      </c>
      <c r="B24" t="s">
        <v>139</v>
      </c>
      <c r="C24">
        <v>56</v>
      </c>
      <c r="E24" t="s">
        <v>283</v>
      </c>
      <c r="F24" t="s">
        <v>139</v>
      </c>
      <c r="G24">
        <v>56</v>
      </c>
    </row>
    <row r="25" spans="1:7" x14ac:dyDescent="0.35">
      <c r="A25" t="s">
        <v>276</v>
      </c>
      <c r="B25" t="s">
        <v>139</v>
      </c>
      <c r="C25">
        <v>55</v>
      </c>
      <c r="E25" t="s">
        <v>276</v>
      </c>
      <c r="F25" t="s">
        <v>139</v>
      </c>
      <c r="G25">
        <v>55</v>
      </c>
    </row>
    <row r="26" spans="1:7" x14ac:dyDescent="0.35">
      <c r="A26" t="s">
        <v>266</v>
      </c>
      <c r="B26" t="s">
        <v>135</v>
      </c>
      <c r="C26">
        <v>50</v>
      </c>
      <c r="E26" t="s">
        <v>266</v>
      </c>
      <c r="F26" t="s">
        <v>135</v>
      </c>
      <c r="G26">
        <v>50</v>
      </c>
    </row>
    <row r="27" spans="1:7" x14ac:dyDescent="0.35">
      <c r="A27" t="s">
        <v>209</v>
      </c>
      <c r="B27" t="s">
        <v>71</v>
      </c>
      <c r="C27">
        <v>45</v>
      </c>
      <c r="E27" t="s">
        <v>209</v>
      </c>
      <c r="F27" t="s">
        <v>71</v>
      </c>
      <c r="G27">
        <v>45</v>
      </c>
    </row>
    <row r="28" spans="1:7" x14ac:dyDescent="0.35">
      <c r="A28" t="s">
        <v>263</v>
      </c>
      <c r="B28" t="s">
        <v>135</v>
      </c>
      <c r="C28">
        <v>45</v>
      </c>
      <c r="E28" t="s">
        <v>263</v>
      </c>
      <c r="F28" t="s">
        <v>135</v>
      </c>
      <c r="G28">
        <v>45</v>
      </c>
    </row>
    <row r="29" spans="1:7" x14ac:dyDescent="0.35">
      <c r="A29" t="s">
        <v>215</v>
      </c>
      <c r="B29" t="s">
        <v>79</v>
      </c>
      <c r="C29">
        <v>43</v>
      </c>
      <c r="E29" t="s">
        <v>215</v>
      </c>
      <c r="F29" t="s">
        <v>79</v>
      </c>
      <c r="G29">
        <v>43</v>
      </c>
    </row>
    <row r="30" spans="1:7" x14ac:dyDescent="0.35">
      <c r="A30" t="s">
        <v>282</v>
      </c>
      <c r="B30" t="s">
        <v>139</v>
      </c>
      <c r="C30">
        <v>41</v>
      </c>
      <c r="E30" t="s">
        <v>282</v>
      </c>
      <c r="F30" t="s">
        <v>139</v>
      </c>
      <c r="G30">
        <v>41</v>
      </c>
    </row>
    <row r="31" spans="1:7" x14ac:dyDescent="0.35">
      <c r="A31" t="s">
        <v>280</v>
      </c>
      <c r="B31" t="s">
        <v>149</v>
      </c>
      <c r="C31">
        <v>40</v>
      </c>
      <c r="E31" t="s">
        <v>280</v>
      </c>
      <c r="F31" t="s">
        <v>149</v>
      </c>
      <c r="G31">
        <v>40</v>
      </c>
    </row>
    <row r="32" spans="1:7" x14ac:dyDescent="0.35">
      <c r="A32" t="s">
        <v>267</v>
      </c>
      <c r="B32" t="s">
        <v>135</v>
      </c>
      <c r="C32">
        <v>35</v>
      </c>
      <c r="E32" t="s">
        <v>267</v>
      </c>
      <c r="F32" t="s">
        <v>135</v>
      </c>
      <c r="G32">
        <v>35</v>
      </c>
    </row>
    <row r="33" spans="1:7" x14ac:dyDescent="0.35">
      <c r="A33" t="s">
        <v>264</v>
      </c>
      <c r="B33" t="s">
        <v>135</v>
      </c>
      <c r="C33">
        <v>30</v>
      </c>
      <c r="E33" t="s">
        <v>264</v>
      </c>
      <c r="F33" t="s">
        <v>135</v>
      </c>
      <c r="G33">
        <v>30</v>
      </c>
    </row>
    <row r="34" spans="1:7" x14ac:dyDescent="0.35">
      <c r="A34" t="s">
        <v>82</v>
      </c>
      <c r="E34" t="s">
        <v>82</v>
      </c>
      <c r="G34">
        <f>SUM(G4:G33)*1/10</f>
        <v>201.8</v>
      </c>
    </row>
  </sheetData>
  <sortState ref="A4:C34">
    <sortCondition descending="1" ref="C33"/>
  </sortState>
  <conditionalFormatting sqref="C4:C33">
    <cfRule type="top10" dxfId="5" priority="5" bottom="1" rank="10"/>
    <cfRule type="top10" dxfId="4" priority="6" rank="10"/>
  </conditionalFormatting>
  <conditionalFormatting sqref="G4:G33">
    <cfRule type="top10" dxfId="3" priority="3" percent="1" bottom="1" rank="10"/>
    <cfRule type="top10" dxfId="2" priority="4" percent="1" rank="10"/>
  </conditionalFormatting>
  <conditionalFormatting sqref="K4:K13">
    <cfRule type="aboveAverage" dxfId="1" priority="1" aboveAverage="0"/>
    <cfRule type="aboveAverage" dxfId="0" priority="2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"/>
  <sheetViews>
    <sheetView topLeftCell="Q1" workbookViewId="0">
      <selection activeCell="AA9" sqref="AA9"/>
    </sheetView>
  </sheetViews>
  <sheetFormatPr defaultRowHeight="14.5" x14ac:dyDescent="0.35"/>
  <cols>
    <col min="1" max="1" width="12.7265625" bestFit="1" customWidth="1"/>
    <col min="5" max="5" width="12.453125" bestFit="1" customWidth="1"/>
  </cols>
  <sheetData>
    <row r="1" spans="1:33" x14ac:dyDescent="0.35">
      <c r="A1" t="s">
        <v>307</v>
      </c>
      <c r="T1" t="s">
        <v>316</v>
      </c>
      <c r="U1" t="s">
        <v>317</v>
      </c>
      <c r="V1" t="s">
        <v>318</v>
      </c>
      <c r="W1" t="s">
        <v>319</v>
      </c>
      <c r="AA1" t="s">
        <v>344</v>
      </c>
    </row>
    <row r="2" spans="1:33" x14ac:dyDescent="0.35">
      <c r="T2" t="s">
        <v>320</v>
      </c>
      <c r="U2" t="s">
        <v>321</v>
      </c>
      <c r="V2" t="s">
        <v>322</v>
      </c>
      <c r="W2" t="s">
        <v>323</v>
      </c>
      <c r="AA2" t="s">
        <v>66</v>
      </c>
      <c r="AB2" t="s">
        <v>184</v>
      </c>
      <c r="AC2" t="s">
        <v>185</v>
      </c>
      <c r="AD2" t="s">
        <v>100</v>
      </c>
      <c r="AE2" t="s">
        <v>219</v>
      </c>
      <c r="AF2" t="s">
        <v>220</v>
      </c>
      <c r="AG2" t="s">
        <v>68</v>
      </c>
    </row>
    <row r="3" spans="1:33" x14ac:dyDescent="0.35">
      <c r="A3" s="115" t="s">
        <v>208</v>
      </c>
      <c r="B3" s="115" t="s">
        <v>67</v>
      </c>
      <c r="C3" s="115" t="s">
        <v>68</v>
      </c>
      <c r="E3" s="115" t="s">
        <v>208</v>
      </c>
      <c r="F3" s="115" t="s">
        <v>67</v>
      </c>
      <c r="G3" s="115" t="s">
        <v>68</v>
      </c>
      <c r="I3">
        <v>1</v>
      </c>
      <c r="T3" t="s">
        <v>324</v>
      </c>
      <c r="U3" t="s">
        <v>325</v>
      </c>
      <c r="V3" t="s">
        <v>326</v>
      </c>
      <c r="W3" t="s">
        <v>327</v>
      </c>
      <c r="AA3" t="s">
        <v>102</v>
      </c>
      <c r="AB3">
        <v>45</v>
      </c>
      <c r="AC3">
        <v>49</v>
      </c>
      <c r="AD3">
        <v>49</v>
      </c>
      <c r="AE3">
        <v>65</v>
      </c>
      <c r="AF3">
        <v>65</v>
      </c>
      <c r="AG3">
        <v>45</v>
      </c>
    </row>
    <row r="4" spans="1:33" x14ac:dyDescent="0.35">
      <c r="A4" t="s">
        <v>298</v>
      </c>
      <c r="B4" t="s">
        <v>128</v>
      </c>
      <c r="C4">
        <v>70</v>
      </c>
      <c r="E4" t="s">
        <v>308</v>
      </c>
      <c r="F4" t="s">
        <v>128</v>
      </c>
      <c r="G4">
        <v>20</v>
      </c>
      <c r="I4">
        <v>2</v>
      </c>
      <c r="T4" t="s">
        <v>328</v>
      </c>
      <c r="U4" t="s">
        <v>329</v>
      </c>
      <c r="V4" t="s">
        <v>330</v>
      </c>
      <c r="W4" t="s">
        <v>331</v>
      </c>
      <c r="AA4" t="s">
        <v>108</v>
      </c>
      <c r="AB4">
        <v>39</v>
      </c>
      <c r="AC4">
        <v>52</v>
      </c>
      <c r="AD4">
        <v>43</v>
      </c>
      <c r="AE4">
        <v>60</v>
      </c>
      <c r="AF4">
        <v>50</v>
      </c>
      <c r="AG4">
        <v>65</v>
      </c>
    </row>
    <row r="5" spans="1:33" x14ac:dyDescent="0.35">
      <c r="A5" t="s">
        <v>299</v>
      </c>
      <c r="B5" t="s">
        <v>187</v>
      </c>
      <c r="C5">
        <v>42</v>
      </c>
      <c r="E5" t="s">
        <v>309</v>
      </c>
      <c r="F5" t="s">
        <v>128</v>
      </c>
      <c r="G5">
        <v>35</v>
      </c>
      <c r="I5">
        <v>3</v>
      </c>
      <c r="T5" t="s">
        <v>332</v>
      </c>
      <c r="U5" t="s">
        <v>333</v>
      </c>
      <c r="V5" t="s">
        <v>334</v>
      </c>
      <c r="W5" t="s">
        <v>335</v>
      </c>
      <c r="AA5" t="s">
        <v>181</v>
      </c>
      <c r="AB5">
        <v>44</v>
      </c>
      <c r="AC5">
        <v>48</v>
      </c>
      <c r="AD5">
        <v>65</v>
      </c>
      <c r="AE5">
        <v>50</v>
      </c>
      <c r="AF5">
        <v>64</v>
      </c>
      <c r="AG5">
        <v>43</v>
      </c>
    </row>
    <row r="6" spans="1:33" x14ac:dyDescent="0.35">
      <c r="A6" t="s">
        <v>300</v>
      </c>
      <c r="B6" t="s">
        <v>187</v>
      </c>
      <c r="C6">
        <v>67</v>
      </c>
      <c r="E6" t="s">
        <v>310</v>
      </c>
      <c r="F6" t="s">
        <v>128</v>
      </c>
      <c r="G6">
        <v>45</v>
      </c>
      <c r="I6">
        <v>4</v>
      </c>
      <c r="T6" t="s">
        <v>336</v>
      </c>
      <c r="U6" t="s">
        <v>337</v>
      </c>
      <c r="V6" t="s">
        <v>338</v>
      </c>
      <c r="W6" t="s">
        <v>339</v>
      </c>
      <c r="AA6" t="s">
        <v>177</v>
      </c>
    </row>
    <row r="7" spans="1:33" x14ac:dyDescent="0.35">
      <c r="A7" t="s">
        <v>301</v>
      </c>
      <c r="B7" t="s">
        <v>79</v>
      </c>
      <c r="C7">
        <v>50</v>
      </c>
      <c r="E7" t="s">
        <v>311</v>
      </c>
      <c r="F7" t="s">
        <v>75</v>
      </c>
      <c r="G7">
        <v>90</v>
      </c>
      <c r="I7">
        <v>5</v>
      </c>
      <c r="T7" t="s">
        <v>340</v>
      </c>
      <c r="U7" t="s">
        <v>341</v>
      </c>
      <c r="V7" t="s">
        <v>342</v>
      </c>
      <c r="W7" t="s">
        <v>343</v>
      </c>
    </row>
    <row r="8" spans="1:33" x14ac:dyDescent="0.35">
      <c r="A8" t="s">
        <v>302</v>
      </c>
      <c r="B8" t="s">
        <v>79</v>
      </c>
      <c r="C8">
        <v>75</v>
      </c>
      <c r="E8" t="s">
        <v>312</v>
      </c>
      <c r="F8" t="s">
        <v>75</v>
      </c>
      <c r="G8">
        <v>105</v>
      </c>
      <c r="I8">
        <v>6</v>
      </c>
      <c r="T8" t="s">
        <v>177</v>
      </c>
      <c r="U8">
        <f>SUM(U2:U7)</f>
        <v>0</v>
      </c>
      <c r="V8">
        <f>SUM(U8)</f>
        <v>0</v>
      </c>
    </row>
    <row r="9" spans="1:33" x14ac:dyDescent="0.35">
      <c r="A9" t="s">
        <v>303</v>
      </c>
      <c r="B9" t="s">
        <v>124</v>
      </c>
      <c r="C9">
        <v>100</v>
      </c>
      <c r="E9" t="s">
        <v>313</v>
      </c>
      <c r="F9" t="s">
        <v>79</v>
      </c>
      <c r="G9">
        <v>15</v>
      </c>
      <c r="I9">
        <v>7</v>
      </c>
    </row>
    <row r="10" spans="1:33" x14ac:dyDescent="0.35">
      <c r="A10" t="s">
        <v>304</v>
      </c>
      <c r="B10" t="s">
        <v>124</v>
      </c>
      <c r="C10">
        <v>140</v>
      </c>
      <c r="E10" t="s">
        <v>314</v>
      </c>
      <c r="F10" t="s">
        <v>79</v>
      </c>
      <c r="G10">
        <v>30</v>
      </c>
      <c r="I10">
        <v>8</v>
      </c>
    </row>
    <row r="11" spans="1:33" x14ac:dyDescent="0.35">
      <c r="A11" t="s">
        <v>305</v>
      </c>
      <c r="B11" t="s">
        <v>71</v>
      </c>
      <c r="C11">
        <v>40</v>
      </c>
      <c r="E11" t="s">
        <v>82</v>
      </c>
    </row>
    <row r="12" spans="1:33" x14ac:dyDescent="0.35">
      <c r="A12" t="s">
        <v>306</v>
      </c>
      <c r="B12" t="s">
        <v>71</v>
      </c>
      <c r="C12">
        <v>55</v>
      </c>
    </row>
    <row r="16" spans="1:33" x14ac:dyDescent="0.35">
      <c r="A16" s="115" t="s">
        <v>66</v>
      </c>
      <c r="B16" s="115" t="s">
        <v>184</v>
      </c>
      <c r="C16" s="115" t="s">
        <v>185</v>
      </c>
      <c r="D16" s="115" t="s">
        <v>100</v>
      </c>
      <c r="E16" s="115" t="s">
        <v>219</v>
      </c>
      <c r="F16" s="115" t="s">
        <v>220</v>
      </c>
      <c r="G16" s="115" t="s">
        <v>68</v>
      </c>
    </row>
    <row r="17" spans="1:7" x14ac:dyDescent="0.35">
      <c r="A17" t="s">
        <v>102</v>
      </c>
      <c r="B17">
        <v>45</v>
      </c>
      <c r="C17">
        <v>49</v>
      </c>
      <c r="D17">
        <v>49</v>
      </c>
      <c r="E17">
        <v>65</v>
      </c>
      <c r="F17">
        <v>65</v>
      </c>
      <c r="G17">
        <v>45</v>
      </c>
    </row>
    <row r="18" spans="1:7" x14ac:dyDescent="0.35">
      <c r="A18" t="s">
        <v>108</v>
      </c>
      <c r="B18">
        <v>39</v>
      </c>
      <c r="C18">
        <v>52</v>
      </c>
      <c r="D18">
        <v>43</v>
      </c>
      <c r="E18">
        <v>60</v>
      </c>
      <c r="F18">
        <v>50</v>
      </c>
      <c r="G18">
        <v>65</v>
      </c>
    </row>
    <row r="19" spans="1:7" x14ac:dyDescent="0.35">
      <c r="A19" t="s">
        <v>181</v>
      </c>
      <c r="B19">
        <v>44</v>
      </c>
      <c r="C19">
        <v>48</v>
      </c>
      <c r="D19">
        <v>65</v>
      </c>
      <c r="E19">
        <v>50</v>
      </c>
      <c r="F19">
        <v>64</v>
      </c>
      <c r="G19">
        <v>43</v>
      </c>
    </row>
    <row r="20" spans="1:7" x14ac:dyDescent="0.35">
      <c r="A20" t="s">
        <v>177</v>
      </c>
    </row>
    <row r="24" spans="1:7" x14ac:dyDescent="0.35">
      <c r="A24" t="s">
        <v>315</v>
      </c>
    </row>
    <row r="25" spans="1:7" x14ac:dyDescent="0.35">
      <c r="A25" t="s">
        <v>66</v>
      </c>
      <c r="B25" t="s">
        <v>184</v>
      </c>
      <c r="C25" t="s">
        <v>185</v>
      </c>
      <c r="D25" t="s">
        <v>100</v>
      </c>
      <c r="E25" t="s">
        <v>219</v>
      </c>
      <c r="F25" t="s">
        <v>220</v>
      </c>
      <c r="G25" t="s">
        <v>68</v>
      </c>
    </row>
    <row r="26" spans="1:7" x14ac:dyDescent="0.35">
      <c r="A26" t="s">
        <v>102</v>
      </c>
      <c r="B26">
        <v>45</v>
      </c>
      <c r="C26">
        <v>49</v>
      </c>
      <c r="D26">
        <v>49</v>
      </c>
      <c r="E26">
        <v>65</v>
      </c>
      <c r="F26">
        <v>65</v>
      </c>
      <c r="G26">
        <v>45</v>
      </c>
    </row>
    <row r="27" spans="1:7" x14ac:dyDescent="0.35">
      <c r="A27" t="s">
        <v>106</v>
      </c>
      <c r="B27">
        <v>60</v>
      </c>
      <c r="C27">
        <v>62</v>
      </c>
      <c r="D27">
        <v>63</v>
      </c>
      <c r="E27">
        <v>80</v>
      </c>
      <c r="F27">
        <v>80</v>
      </c>
      <c r="G27">
        <v>60</v>
      </c>
    </row>
    <row r="28" spans="1:7" x14ac:dyDescent="0.35">
      <c r="A28" t="s">
        <v>107</v>
      </c>
      <c r="B28">
        <v>80</v>
      </c>
      <c r="C28">
        <v>82</v>
      </c>
      <c r="D28">
        <v>83</v>
      </c>
      <c r="E28">
        <v>100</v>
      </c>
      <c r="F28">
        <v>100</v>
      </c>
      <c r="G28">
        <v>80</v>
      </c>
    </row>
    <row r="29" spans="1:7" x14ac:dyDescent="0.35">
      <c r="A29" t="s">
        <v>177</v>
      </c>
    </row>
  </sheetData>
  <conditionalFormatting sqref="C4:C12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{0D4A74A3-C1E4-4340-A6D1-CD9424F10E2A}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4A74A3-C1E4-4340-A6D1-CD9424F10E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C4:C12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span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'dara bar'!B26:G26</xm:f>
              <xm:sqref>H26</xm:sqref>
            </x14:sparkline>
            <x14:sparkline>
              <xm:f>'dara bar'!B27:G27</xm:f>
              <xm:sqref>H27</xm:sqref>
            </x14:sparkline>
            <x14:sparkline>
              <xm:f>'dara bar'!B28:G28</xm:f>
              <xm:sqref>H28</xm:sqref>
            </x14:sparkline>
            <x14:sparkline>
              <xm:f>'dara bar'!B29:G29</xm:f>
              <xm:sqref>H29</xm:sqref>
            </x14:sparkline>
          </x14:sparklines>
        </x14:sparklineGroup>
      </x14:sparklineGroup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H8" sqref="H8"/>
    </sheetView>
  </sheetViews>
  <sheetFormatPr defaultRowHeight="14.5" x14ac:dyDescent="0.35"/>
  <cols>
    <col min="1" max="1" width="13.1796875" bestFit="1" customWidth="1"/>
    <col min="2" max="3" width="10.26953125" customWidth="1"/>
    <col min="4" max="4" width="13.81640625" bestFit="1" customWidth="1"/>
    <col min="8" max="8" width="13.81640625" bestFit="1" customWidth="1"/>
  </cols>
  <sheetData>
    <row r="1" spans="1:8" x14ac:dyDescent="0.35">
      <c r="A1" s="116" t="s">
        <v>66</v>
      </c>
      <c r="B1" s="117" t="s">
        <v>67</v>
      </c>
      <c r="C1" s="117" t="s">
        <v>68</v>
      </c>
      <c r="D1" s="118" t="s">
        <v>180</v>
      </c>
    </row>
    <row r="2" spans="1:8" x14ac:dyDescent="0.35">
      <c r="A2" t="s">
        <v>102</v>
      </c>
      <c r="B2" t="s">
        <v>71</v>
      </c>
      <c r="C2">
        <v>45</v>
      </c>
      <c r="D2" t="str">
        <f>IF(C2&gt;90,"fast",IF(C2&gt;50,"normal",IF(C2&lt;=50,"slow")))</f>
        <v>slow</v>
      </c>
      <c r="E2" t="str">
        <f ca="1">_xlfn.FORMULATEXT(D2)</f>
        <v>=IF(C2&gt;90,"fast",IF(C2&gt;50,"normal",IF(C2&lt;=50,"slow")))</v>
      </c>
    </row>
    <row r="3" spans="1:8" x14ac:dyDescent="0.35">
      <c r="A3" t="s">
        <v>106</v>
      </c>
      <c r="B3" t="s">
        <v>71</v>
      </c>
      <c r="C3">
        <v>60</v>
      </c>
      <c r="D3" t="str">
        <f t="shared" ref="D3:D10" si="0">IF(C3&gt;90,"fast",IF(C3&gt;50,"normal",IF(C3&lt;=50,"slow")))</f>
        <v>normal</v>
      </c>
      <c r="E3" t="e">
        <f ca="1">ifs(C2&gt;90,"fast",C2&gt;50,"normal",C2&lt;=50,"slow")</f>
        <v>#NAME?</v>
      </c>
    </row>
    <row r="4" spans="1:8" x14ac:dyDescent="0.35">
      <c r="A4" t="s">
        <v>107</v>
      </c>
      <c r="B4" t="s">
        <v>71</v>
      </c>
      <c r="C4">
        <v>80</v>
      </c>
      <c r="D4" t="str">
        <f t="shared" si="0"/>
        <v>normal</v>
      </c>
    </row>
    <row r="5" spans="1:8" x14ac:dyDescent="0.35">
      <c r="A5" t="s">
        <v>108</v>
      </c>
      <c r="B5" t="s">
        <v>75</v>
      </c>
      <c r="C5">
        <v>65</v>
      </c>
      <c r="D5" t="str">
        <f t="shared" si="0"/>
        <v>normal</v>
      </c>
    </row>
    <row r="6" spans="1:8" x14ac:dyDescent="0.35">
      <c r="A6" t="s">
        <v>109</v>
      </c>
      <c r="B6" t="s">
        <v>75</v>
      </c>
      <c r="C6">
        <v>80</v>
      </c>
      <c r="D6" t="str">
        <f t="shared" si="0"/>
        <v>normal</v>
      </c>
    </row>
    <row r="7" spans="1:8" x14ac:dyDescent="0.35">
      <c r="A7" t="s">
        <v>110</v>
      </c>
      <c r="B7" t="s">
        <v>75</v>
      </c>
      <c r="C7">
        <v>100</v>
      </c>
      <c r="D7" t="str">
        <f t="shared" si="0"/>
        <v>fast</v>
      </c>
      <c r="F7" s="117" t="s">
        <v>67</v>
      </c>
      <c r="G7" s="117" t="s">
        <v>68</v>
      </c>
      <c r="H7" s="118" t="s">
        <v>180</v>
      </c>
    </row>
    <row r="8" spans="1:8" x14ac:dyDescent="0.35">
      <c r="A8" t="s">
        <v>181</v>
      </c>
      <c r="B8" t="s">
        <v>79</v>
      </c>
      <c r="C8">
        <v>43</v>
      </c>
      <c r="D8" t="str">
        <f t="shared" si="0"/>
        <v>slow</v>
      </c>
      <c r="F8" t="s">
        <v>158</v>
      </c>
      <c r="G8">
        <v>45</v>
      </c>
      <c r="H8" t="e">
        <f>IF(B2,F8,IF(C2,G8))</f>
        <v>#VALUE!</v>
      </c>
    </row>
    <row r="9" spans="1:8" x14ac:dyDescent="0.35">
      <c r="A9" t="s">
        <v>182</v>
      </c>
      <c r="B9" t="s">
        <v>79</v>
      </c>
      <c r="C9">
        <v>58</v>
      </c>
      <c r="D9" t="str">
        <f t="shared" si="0"/>
        <v>normal</v>
      </c>
    </row>
    <row r="10" spans="1:8" x14ac:dyDescent="0.35">
      <c r="A10" t="s">
        <v>183</v>
      </c>
      <c r="B10" t="s">
        <v>79</v>
      </c>
      <c r="C10">
        <v>78</v>
      </c>
      <c r="D10" t="str">
        <f t="shared" si="0"/>
        <v>normal</v>
      </c>
    </row>
    <row r="11" spans="1:8" x14ac:dyDescent="0.35">
      <c r="A11" t="s">
        <v>82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22"/>
  <sheetViews>
    <sheetView topLeftCell="A2" workbookViewId="0">
      <selection activeCell="G13" sqref="G13"/>
    </sheetView>
  </sheetViews>
  <sheetFormatPr defaultRowHeight="14.5" x14ac:dyDescent="0.35"/>
  <sheetData>
    <row r="1" spans="1:7" x14ac:dyDescent="0.35">
      <c r="A1" s="119" t="s">
        <v>66</v>
      </c>
      <c r="B1" s="119" t="s">
        <v>67</v>
      </c>
      <c r="C1" s="119" t="s">
        <v>117</v>
      </c>
    </row>
    <row r="2" spans="1:7" x14ac:dyDescent="0.35">
      <c r="A2" t="s">
        <v>118</v>
      </c>
      <c r="B2" t="s">
        <v>119</v>
      </c>
      <c r="C2">
        <v>305</v>
      </c>
      <c r="E2" t="str">
        <f>LEFT(A2,4)</f>
        <v xml:space="preserve">    </v>
      </c>
    </row>
    <row r="3" spans="1:7" x14ac:dyDescent="0.35">
      <c r="A3" t="s">
        <v>120</v>
      </c>
      <c r="B3" t="s">
        <v>79</v>
      </c>
      <c r="C3">
        <v>510</v>
      </c>
    </row>
    <row r="4" spans="1:7" x14ac:dyDescent="0.35">
      <c r="A4" t="s">
        <v>121</v>
      </c>
      <c r="B4" t="s">
        <v>71</v>
      </c>
      <c r="C4">
        <v>490</v>
      </c>
    </row>
    <row r="5" spans="1:7" x14ac:dyDescent="0.35">
      <c r="A5" t="s">
        <v>122</v>
      </c>
      <c r="B5" t="s">
        <v>79</v>
      </c>
      <c r="C5">
        <v>335</v>
      </c>
    </row>
    <row r="6" spans="1:7" x14ac:dyDescent="0.35">
      <c r="A6" t="s">
        <v>123</v>
      </c>
      <c r="B6" t="s">
        <v>124</v>
      </c>
      <c r="C6">
        <v>465</v>
      </c>
    </row>
    <row r="7" spans="1:7" x14ac:dyDescent="0.35">
      <c r="A7" t="s">
        <v>125</v>
      </c>
      <c r="B7" t="s">
        <v>79</v>
      </c>
      <c r="C7">
        <v>475</v>
      </c>
      <c r="F7" s="120" t="s">
        <v>51</v>
      </c>
      <c r="G7" s="120" t="s">
        <v>345</v>
      </c>
    </row>
    <row r="8" spans="1:7" x14ac:dyDescent="0.35">
      <c r="A8" t="s">
        <v>126</v>
      </c>
      <c r="B8" t="s">
        <v>79</v>
      </c>
      <c r="C8">
        <v>525</v>
      </c>
      <c r="F8" t="s">
        <v>346</v>
      </c>
      <c r="G8" t="s">
        <v>352</v>
      </c>
    </row>
    <row r="9" spans="1:7" x14ac:dyDescent="0.35">
      <c r="A9" t="s">
        <v>127</v>
      </c>
      <c r="B9" t="s">
        <v>128</v>
      </c>
      <c r="C9">
        <v>385</v>
      </c>
      <c r="F9" t="s">
        <v>347</v>
      </c>
      <c r="G9" t="s">
        <v>353</v>
      </c>
    </row>
    <row r="10" spans="1:7" x14ac:dyDescent="0.35">
      <c r="A10" t="s">
        <v>129</v>
      </c>
      <c r="B10" t="s">
        <v>130</v>
      </c>
      <c r="C10">
        <v>420</v>
      </c>
      <c r="F10" t="s">
        <v>348</v>
      </c>
      <c r="G10" t="s">
        <v>352</v>
      </c>
    </row>
    <row r="11" spans="1:7" x14ac:dyDescent="0.35">
      <c r="A11" t="s">
        <v>131</v>
      </c>
      <c r="B11" t="s">
        <v>132</v>
      </c>
      <c r="C11">
        <v>349</v>
      </c>
      <c r="F11" t="s">
        <v>349</v>
      </c>
      <c r="G11" t="s">
        <v>354</v>
      </c>
    </row>
    <row r="12" spans="1:7" x14ac:dyDescent="0.35">
      <c r="A12" t="s">
        <v>133</v>
      </c>
      <c r="B12" t="s">
        <v>132</v>
      </c>
      <c r="C12">
        <v>253</v>
      </c>
      <c r="F12" t="s">
        <v>350</v>
      </c>
      <c r="G12" t="s">
        <v>354</v>
      </c>
    </row>
    <row r="13" spans="1:7" x14ac:dyDescent="0.35">
      <c r="A13" t="s">
        <v>134</v>
      </c>
      <c r="B13" t="s">
        <v>135</v>
      </c>
      <c r="C13">
        <v>395</v>
      </c>
      <c r="F13" t="s">
        <v>351</v>
      </c>
      <c r="G13" t="s">
        <v>354</v>
      </c>
    </row>
    <row r="14" spans="1:7" x14ac:dyDescent="0.35">
      <c r="A14" t="s">
        <v>136</v>
      </c>
      <c r="B14" t="s">
        <v>132</v>
      </c>
      <c r="C14">
        <v>310</v>
      </c>
    </row>
    <row r="15" spans="1:7" x14ac:dyDescent="0.35">
      <c r="A15" t="s">
        <v>137</v>
      </c>
      <c r="B15" t="s">
        <v>79</v>
      </c>
      <c r="C15">
        <v>475</v>
      </c>
    </row>
    <row r="16" spans="1:7" x14ac:dyDescent="0.35">
      <c r="A16" t="s">
        <v>138</v>
      </c>
      <c r="B16" t="s">
        <v>139</v>
      </c>
      <c r="C16">
        <v>505</v>
      </c>
    </row>
    <row r="17" spans="1:3" x14ac:dyDescent="0.35">
      <c r="A17" t="s">
        <v>140</v>
      </c>
      <c r="B17" t="s">
        <v>119</v>
      </c>
      <c r="C17">
        <v>455</v>
      </c>
    </row>
    <row r="18" spans="1:3" x14ac:dyDescent="0.35">
      <c r="A18" t="s">
        <v>109</v>
      </c>
      <c r="B18" t="s">
        <v>75</v>
      </c>
      <c r="C18">
        <v>405</v>
      </c>
    </row>
    <row r="19" spans="1:3" x14ac:dyDescent="0.35">
      <c r="A19" t="s">
        <v>141</v>
      </c>
      <c r="B19" t="s">
        <v>139</v>
      </c>
      <c r="C19">
        <v>438</v>
      </c>
    </row>
    <row r="20" spans="1:3" x14ac:dyDescent="0.35">
      <c r="A20" t="s">
        <v>142</v>
      </c>
      <c r="B20" t="s">
        <v>143</v>
      </c>
      <c r="C20">
        <v>310</v>
      </c>
    </row>
    <row r="21" spans="1:3" x14ac:dyDescent="0.35">
      <c r="A21" t="s">
        <v>144</v>
      </c>
      <c r="B21" t="s">
        <v>79</v>
      </c>
      <c r="C21">
        <v>200</v>
      </c>
    </row>
    <row r="22" spans="1:3" x14ac:dyDescent="0.35">
      <c r="A22" t="s">
        <v>82</v>
      </c>
    </row>
  </sheetData>
  <dataValidations xWindow="1050" yWindow="556" count="1">
    <dataValidation type="list" allowBlank="1" showInputMessage="1" showErrorMessage="1" sqref="G8:G13">
      <formula1>"meet,fout,vage"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workbookViewId="0">
      <selection activeCell="J20" sqref="J20"/>
    </sheetView>
  </sheetViews>
  <sheetFormatPr defaultRowHeight="14.5" x14ac:dyDescent="0.35"/>
  <cols>
    <col min="1" max="1" width="8.7265625" customWidth="1"/>
    <col min="2" max="2" width="11.1796875" customWidth="1"/>
    <col min="4" max="4" width="10.6328125" customWidth="1"/>
    <col min="5" max="5" width="10.26953125" customWidth="1"/>
  </cols>
  <sheetData>
    <row r="1" spans="1:7" ht="31" x14ac:dyDescent="0.35">
      <c r="B1" s="124" t="s">
        <v>355</v>
      </c>
    </row>
    <row r="2" spans="1:7" x14ac:dyDescent="0.35">
      <c r="A2" s="126" t="s">
        <v>356</v>
      </c>
      <c r="B2" s="126" t="s">
        <v>357</v>
      </c>
      <c r="C2" s="126" t="s">
        <v>373</v>
      </c>
      <c r="D2" s="126" t="s">
        <v>372</v>
      </c>
      <c r="E2" s="125" t="s">
        <v>371</v>
      </c>
      <c r="G2" s="127" t="s">
        <v>367</v>
      </c>
    </row>
    <row r="3" spans="1:7" x14ac:dyDescent="0.35">
      <c r="A3" s="8" t="s">
        <v>358</v>
      </c>
      <c r="B3" s="8">
        <v>200</v>
      </c>
      <c r="C3" s="8">
        <f>B3*D3</f>
        <v>200</v>
      </c>
      <c r="D3" s="8">
        <v>1</v>
      </c>
      <c r="G3" s="127" t="s">
        <v>368</v>
      </c>
    </row>
    <row r="4" spans="1:7" x14ac:dyDescent="0.35">
      <c r="A4" s="8" t="s">
        <v>359</v>
      </c>
      <c r="B4" s="8">
        <v>600</v>
      </c>
      <c r="C4" s="8">
        <f>B4*D4</f>
        <v>600</v>
      </c>
      <c r="D4" s="8">
        <v>1</v>
      </c>
      <c r="G4" s="127" t="s">
        <v>369</v>
      </c>
    </row>
    <row r="5" spans="1:7" x14ac:dyDescent="0.35">
      <c r="A5" s="8" t="s">
        <v>360</v>
      </c>
      <c r="B5" s="8">
        <v>1200</v>
      </c>
      <c r="C5" s="8">
        <f>B5*D5</f>
        <v>1200</v>
      </c>
      <c r="D5" s="8">
        <v>1</v>
      </c>
      <c r="G5" s="127" t="s">
        <v>370</v>
      </c>
    </row>
    <row r="6" spans="1:7" x14ac:dyDescent="0.35">
      <c r="A6" s="8" t="s">
        <v>361</v>
      </c>
      <c r="B6" s="8">
        <v>300</v>
      </c>
      <c r="C6" s="8">
        <f>B6*D6</f>
        <v>300</v>
      </c>
      <c r="D6" s="8">
        <v>1</v>
      </c>
    </row>
    <row r="7" spans="1:7" x14ac:dyDescent="0.35">
      <c r="A7" s="8" t="s">
        <v>362</v>
      </c>
      <c r="B7" s="8">
        <v>700</v>
      </c>
      <c r="C7" s="8">
        <f>B7*D7</f>
        <v>700</v>
      </c>
      <c r="D7" s="8">
        <v>1</v>
      </c>
    </row>
    <row r="8" spans="1:7" x14ac:dyDescent="0.35">
      <c r="A8" s="8" t="s">
        <v>363</v>
      </c>
      <c r="B8" s="8">
        <v>1200</v>
      </c>
      <c r="C8" s="8">
        <f>B8*D8</f>
        <v>1200</v>
      </c>
      <c r="D8" s="8">
        <v>1</v>
      </c>
    </row>
    <row r="9" spans="1:7" x14ac:dyDescent="0.35">
      <c r="A9" s="8" t="s">
        <v>364</v>
      </c>
      <c r="B9" s="8">
        <v>100</v>
      </c>
      <c r="C9" s="8">
        <f>B9*D9</f>
        <v>100</v>
      </c>
      <c r="D9" s="8">
        <v>1</v>
      </c>
    </row>
    <row r="10" spans="1:7" x14ac:dyDescent="0.35">
      <c r="A10" s="8"/>
      <c r="B10" s="8"/>
      <c r="C10" s="8"/>
      <c r="D10" s="8"/>
    </row>
    <row r="11" spans="1:7" x14ac:dyDescent="0.35">
      <c r="A11" s="8" t="s">
        <v>365</v>
      </c>
      <c r="B11" s="8">
        <f>SUM(C3:C9)</f>
        <v>4300</v>
      </c>
      <c r="C11" s="8"/>
      <c r="D11" s="8"/>
    </row>
    <row r="12" spans="1:7" x14ac:dyDescent="0.35">
      <c r="A12" s="8" t="s">
        <v>366</v>
      </c>
      <c r="B12" s="8">
        <f>(E12/100)*B11</f>
        <v>430</v>
      </c>
      <c r="C12" s="8"/>
      <c r="D12" s="8" t="s">
        <v>366</v>
      </c>
      <c r="E12">
        <v>10</v>
      </c>
    </row>
    <row r="13" spans="1:7" x14ac:dyDescent="0.35">
      <c r="A13" s="8"/>
      <c r="B13" s="8"/>
      <c r="C13" s="8"/>
      <c r="D13" s="8"/>
    </row>
    <row r="14" spans="1:7" x14ac:dyDescent="0.35">
      <c r="A14" s="8" t="s">
        <v>166</v>
      </c>
      <c r="B14" s="8">
        <f>B11-B12</f>
        <v>3870</v>
      </c>
      <c r="C14" s="8"/>
      <c r="D14" s="8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1DE4CF-2176-4D06-B716-2DBD6C1B85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Sheet1</vt:lpstr>
      <vt:lpstr>salect put data</vt:lpstr>
      <vt:lpstr>Sheet2</vt:lpstr>
      <vt:lpstr>Sheet3</vt:lpstr>
      <vt:lpstr>runing tool</vt:lpstr>
      <vt:lpstr>refrence</vt:lpstr>
      <vt:lpstr>rc test</vt:lpstr>
      <vt:lpstr>Andloop</vt:lpstr>
      <vt:lpstr>lock</vt:lpstr>
      <vt:lpstr>And</vt:lpstr>
      <vt:lpstr>Average</vt:lpstr>
      <vt:lpstr>CONCAT</vt:lpstr>
      <vt:lpstr>count</vt:lpstr>
      <vt:lpstr>If</vt:lpstr>
      <vt:lpstr>table</vt:lpstr>
      <vt:lpstr>Table 1</vt:lpstr>
      <vt:lpstr>top bottom</vt:lpstr>
      <vt:lpstr>dara bar</vt:lpstr>
      <vt:lpstr>ifs</vt:lpstr>
      <vt:lpstr>left function</vt:lpstr>
      <vt:lpstr>Poke Mart Shop Cart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Dell</cp:lastModifiedBy>
  <dcterms:created xsi:type="dcterms:W3CDTF">2025-07-23T00:04:57Z</dcterms:created>
  <dcterms:modified xsi:type="dcterms:W3CDTF">2025-12-17T13:41:13Z</dcterms:modified>
</cp:coreProperties>
</file>