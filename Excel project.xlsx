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22260" windowHeight="12650" activeTab="2"/>
  </bookViews>
  <sheets>
    <sheet name="Sheet1" sheetId="1" r:id="rId1"/>
    <sheet name="Employee Data Table" sheetId="2" r:id="rId2"/>
    <sheet name="HLOOKUP PRACTICE" sheetId="3" r:id="rId3"/>
  </sheets>
  <definedNames>
    <definedName name="_xlnm._FilterDatabase" localSheetId="0" hidden="1">Sheet1!$A$3:$H$51</definedName>
    <definedName name="emp">'HLOOKUP PRACTICE'!$A$9:$F$12</definedName>
    <definedName name="employee">'Employee Data Table'!$A$3:$E$23</definedName>
    <definedName name="employee1">'Employee Data Table'!$B$3:$E$23</definedName>
    <definedName name="test">'HLOOKUP PRACTICE'!$A$1:$G$5</definedName>
  </definedName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3" l="1"/>
  <c r="H9" i="2"/>
  <c r="H6" i="2"/>
  <c r="H8" i="2" s="1"/>
  <c r="H4" i="1" l="1"/>
  <c r="H46" i="1"/>
  <c r="F51" i="1" l="1"/>
  <c r="F5" i="1"/>
  <c r="G5" i="1" s="1"/>
  <c r="H5" i="1" s="1"/>
  <c r="F6" i="1"/>
  <c r="G6" i="1" s="1"/>
  <c r="H6" i="1" s="1"/>
  <c r="F7" i="1"/>
  <c r="G7" i="1" s="1"/>
  <c r="H7" i="1" s="1"/>
  <c r="F8" i="1"/>
  <c r="G8" i="1" s="1"/>
  <c r="H8" i="1" s="1"/>
  <c r="F9" i="1"/>
  <c r="G9" i="1" s="1"/>
  <c r="H9" i="1" s="1"/>
  <c r="F10" i="1"/>
  <c r="G10" i="1" s="1"/>
  <c r="H10" i="1" s="1"/>
  <c r="F11" i="1"/>
  <c r="G11" i="1" s="1"/>
  <c r="H11" i="1" s="1"/>
  <c r="F12" i="1"/>
  <c r="G12" i="1" s="1"/>
  <c r="H12" i="1" s="1"/>
  <c r="F13" i="1"/>
  <c r="G13" i="1" s="1"/>
  <c r="H13" i="1" s="1"/>
  <c r="F14" i="1"/>
  <c r="G14" i="1" s="1"/>
  <c r="H14" i="1" s="1"/>
  <c r="F15" i="1"/>
  <c r="G15" i="1" s="1"/>
  <c r="H15" i="1" s="1"/>
  <c r="F16" i="1"/>
  <c r="G16" i="1" s="1"/>
  <c r="H16" i="1" s="1"/>
  <c r="F17" i="1"/>
  <c r="G17" i="1" s="1"/>
  <c r="H17" i="1" s="1"/>
  <c r="F18" i="1"/>
  <c r="G18" i="1" s="1"/>
  <c r="H18" i="1" s="1"/>
  <c r="F19" i="1"/>
  <c r="G19" i="1" s="1"/>
  <c r="H19" i="1" s="1"/>
  <c r="F20" i="1"/>
  <c r="G20" i="1" s="1"/>
  <c r="H20" i="1" s="1"/>
  <c r="F21" i="1"/>
  <c r="G21" i="1" s="1"/>
  <c r="H21" i="1" s="1"/>
  <c r="F22" i="1"/>
  <c r="G22" i="1" s="1"/>
  <c r="H22" i="1" s="1"/>
  <c r="F23" i="1"/>
  <c r="G23" i="1" s="1"/>
  <c r="H23" i="1" s="1"/>
  <c r="F24" i="1"/>
  <c r="G24" i="1" s="1"/>
  <c r="H24" i="1" s="1"/>
  <c r="F25" i="1"/>
  <c r="G25" i="1" s="1"/>
  <c r="H25" i="1" s="1"/>
  <c r="F26" i="1"/>
  <c r="G26" i="1" s="1"/>
  <c r="H26" i="1" s="1"/>
  <c r="F27" i="1"/>
  <c r="G27" i="1" s="1"/>
  <c r="H27" i="1" s="1"/>
  <c r="F28" i="1"/>
  <c r="G28" i="1" s="1"/>
  <c r="H28" i="1" s="1"/>
  <c r="F29" i="1"/>
  <c r="G29" i="1" s="1"/>
  <c r="H29" i="1" s="1"/>
  <c r="F30" i="1"/>
  <c r="G30" i="1" s="1"/>
  <c r="H30" i="1" s="1"/>
  <c r="F31" i="1"/>
  <c r="G31" i="1" s="1"/>
  <c r="H31" i="1" s="1"/>
  <c r="F32" i="1"/>
  <c r="G32" i="1" s="1"/>
  <c r="H32" i="1" s="1"/>
  <c r="F33" i="1"/>
  <c r="G33" i="1" s="1"/>
  <c r="H33" i="1" s="1"/>
  <c r="F34" i="1"/>
  <c r="G34" i="1" s="1"/>
  <c r="H34" i="1" s="1"/>
  <c r="F35" i="1"/>
  <c r="G35" i="1" s="1"/>
  <c r="H35" i="1" s="1"/>
  <c r="F36" i="1"/>
  <c r="G36" i="1" s="1"/>
  <c r="H36" i="1" s="1"/>
  <c r="F37" i="1"/>
  <c r="G37" i="1" s="1"/>
  <c r="H37" i="1" s="1"/>
  <c r="F38" i="1"/>
  <c r="G38" i="1" s="1"/>
  <c r="H38" i="1" s="1"/>
  <c r="F39" i="1"/>
  <c r="G39" i="1" s="1"/>
  <c r="H39" i="1" s="1"/>
  <c r="F40" i="1"/>
  <c r="G40" i="1" s="1"/>
  <c r="H40" i="1" s="1"/>
  <c r="F41" i="1"/>
  <c r="G41" i="1" s="1"/>
  <c r="H41" i="1" s="1"/>
  <c r="F42" i="1"/>
  <c r="G42" i="1" s="1"/>
  <c r="H42" i="1" s="1"/>
  <c r="F43" i="1"/>
  <c r="G43" i="1" s="1"/>
  <c r="H43" i="1" s="1"/>
  <c r="F44" i="1"/>
  <c r="G44" i="1" s="1"/>
  <c r="H44" i="1" s="1"/>
  <c r="F45" i="1"/>
  <c r="G45" i="1" s="1"/>
  <c r="H45" i="1" s="1"/>
  <c r="F46" i="1"/>
  <c r="G46" i="1" s="1"/>
  <c r="F47" i="1"/>
  <c r="G47" i="1" s="1"/>
  <c r="H47" i="1" s="1"/>
  <c r="F48" i="1"/>
  <c r="G48" i="1" s="1"/>
  <c r="H48" i="1" s="1"/>
  <c r="F49" i="1"/>
  <c r="G49" i="1" s="1"/>
  <c r="H49" i="1" s="1"/>
  <c r="F50" i="1"/>
  <c r="G50" i="1" s="1"/>
  <c r="H50" i="1" s="1"/>
  <c r="F4" i="1"/>
  <c r="G4" i="1" s="1"/>
</calcChain>
</file>

<file path=xl/sharedStrings.xml><?xml version="1.0" encoding="utf-8"?>
<sst xmlns="http://schemas.openxmlformats.org/spreadsheetml/2006/main" count="231" uniqueCount="190">
  <si>
    <r>
      <rPr>
        <b/>
        <sz val="11"/>
        <color theme="3" tint="-0.249977111117893"/>
        <rFont val="Calibri"/>
        <family val="2"/>
        <scheme val="minor"/>
      </rPr>
      <t>Student Result Management</t>
    </r>
    <r>
      <rPr>
        <sz val="11"/>
        <color theme="3" tint="-0.249977111117893"/>
        <rFont val="Calibri"/>
        <family val="2"/>
        <scheme val="minor"/>
      </rPr>
      <t xml:space="preserve"> </t>
    </r>
  </si>
  <si>
    <t>Roll no</t>
  </si>
  <si>
    <t>Name</t>
  </si>
  <si>
    <t xml:space="preserve">Hindi </t>
  </si>
  <si>
    <t>English</t>
  </si>
  <si>
    <t>Math</t>
  </si>
  <si>
    <t xml:space="preserve">Total </t>
  </si>
  <si>
    <t>Percentage</t>
  </si>
  <si>
    <t>Result</t>
  </si>
  <si>
    <t>0128cs181001</t>
  </si>
  <si>
    <t>0128cs181002</t>
  </si>
  <si>
    <t>0128cs181003</t>
  </si>
  <si>
    <t>0128cs181004</t>
  </si>
  <si>
    <t>0128cs181005</t>
  </si>
  <si>
    <t>0128cs181006</t>
  </si>
  <si>
    <t>0128cs181007</t>
  </si>
  <si>
    <t>0128cs181008</t>
  </si>
  <si>
    <t>0128cs181009</t>
  </si>
  <si>
    <t>0128cs181010</t>
  </si>
  <si>
    <t>0128cs181011</t>
  </si>
  <si>
    <t>0128cs181012</t>
  </si>
  <si>
    <t>0128cs181013</t>
  </si>
  <si>
    <t>0128cs181014</t>
  </si>
  <si>
    <t>0128cs181015</t>
  </si>
  <si>
    <t>0128cs181016</t>
  </si>
  <si>
    <t>0128cs181017</t>
  </si>
  <si>
    <t>0128cs181018</t>
  </si>
  <si>
    <t>0128cs181019</t>
  </si>
  <si>
    <t>0128cs181020</t>
  </si>
  <si>
    <t>0128cs181021</t>
  </si>
  <si>
    <t>0128cs181022</t>
  </si>
  <si>
    <t>0128cs181023</t>
  </si>
  <si>
    <t>0128cs181024</t>
  </si>
  <si>
    <t>0128cs181025</t>
  </si>
  <si>
    <t>0128cs181026</t>
  </si>
  <si>
    <t>0128cs181027</t>
  </si>
  <si>
    <t>0128cs181028</t>
  </si>
  <si>
    <t>0128cs181029</t>
  </si>
  <si>
    <t>0128cs181030</t>
  </si>
  <si>
    <t>0128cs181031</t>
  </si>
  <si>
    <t>0128cs181032</t>
  </si>
  <si>
    <t>0128cs181033</t>
  </si>
  <si>
    <t>0128cs181034</t>
  </si>
  <si>
    <t>0128cs181035</t>
  </si>
  <si>
    <t>0128cs181036</t>
  </si>
  <si>
    <t>0128cs181037</t>
  </si>
  <si>
    <t>0128cs181038</t>
  </si>
  <si>
    <t>0128cs181039</t>
  </si>
  <si>
    <t>0128cs181040</t>
  </si>
  <si>
    <t>0128cs181041</t>
  </si>
  <si>
    <t>0128cs181042</t>
  </si>
  <si>
    <t>0128cs181043</t>
  </si>
  <si>
    <t>0128cs181044</t>
  </si>
  <si>
    <t>0128cs181045</t>
  </si>
  <si>
    <t>0128cs181046</t>
  </si>
  <si>
    <t>0128cs181047</t>
  </si>
  <si>
    <t>jone</t>
  </si>
  <si>
    <t>piter</t>
  </si>
  <si>
    <t>shiter</t>
  </si>
  <si>
    <t>mitera</t>
  </si>
  <si>
    <t>men</t>
  </si>
  <si>
    <t>sen</t>
  </si>
  <si>
    <t>den</t>
  </si>
  <si>
    <t>holo</t>
  </si>
  <si>
    <t>polo</t>
  </si>
  <si>
    <t>shiko</t>
  </si>
  <si>
    <t>miko</t>
  </si>
  <si>
    <t>nikjo</t>
  </si>
  <si>
    <t>jade</t>
  </si>
  <si>
    <t>hhekr</t>
  </si>
  <si>
    <t>kajl</t>
  </si>
  <si>
    <t>kale</t>
  </si>
  <si>
    <t>hkjke</t>
  </si>
  <si>
    <t>kkje</t>
  </si>
  <si>
    <t>kkhhe</t>
  </si>
  <si>
    <t>kkhae</t>
  </si>
  <si>
    <t>kamelh</t>
  </si>
  <si>
    <t>sher</t>
  </si>
  <si>
    <t>sir</t>
  </si>
  <si>
    <t>kmei</t>
  </si>
  <si>
    <t>klome</t>
  </si>
  <si>
    <t>lome</t>
  </si>
  <si>
    <t>love</t>
  </si>
  <si>
    <t>same</t>
  </si>
  <si>
    <t>mene</t>
  </si>
  <si>
    <t>kosho</t>
  </si>
  <si>
    <t>mila</t>
  </si>
  <si>
    <t>kkaeme</t>
  </si>
  <si>
    <t>khyier</t>
  </si>
  <si>
    <t>koyoe</t>
  </si>
  <si>
    <t>omuhe</t>
  </si>
  <si>
    <t>ejhjhe</t>
  </si>
  <si>
    <t>jojke</t>
  </si>
  <si>
    <t>khu</t>
  </si>
  <si>
    <t>jnaje</t>
  </si>
  <si>
    <t>jhkaub</t>
  </si>
  <si>
    <t>jgfujai</t>
  </si>
  <si>
    <t>jayjm</t>
  </si>
  <si>
    <t>kimhs</t>
  </si>
  <si>
    <t xml:space="preserve"> KJUIR</t>
  </si>
  <si>
    <t>jjrhj</t>
  </si>
  <si>
    <t>kjlkay</t>
  </si>
  <si>
    <t>student</t>
  </si>
  <si>
    <t>max marks</t>
  </si>
  <si>
    <t>Toper</t>
  </si>
  <si>
    <t>name</t>
  </si>
  <si>
    <t>85+</t>
  </si>
  <si>
    <t>marks</t>
  </si>
  <si>
    <t>Row Labels</t>
  </si>
  <si>
    <t>Grand Total</t>
  </si>
  <si>
    <t>Pass</t>
  </si>
  <si>
    <t>Employee Data Table</t>
  </si>
  <si>
    <t>Emp ID</t>
  </si>
  <si>
    <t>Emp Name</t>
  </si>
  <si>
    <t>Email Address</t>
  </si>
  <si>
    <t>Job Title</t>
  </si>
  <si>
    <t>Salary</t>
  </si>
  <si>
    <t>Rocco Anderson</t>
  </si>
  <si>
    <t>Rocco_Anderson5427@acrit.org</t>
  </si>
  <si>
    <t>Project Manager</t>
  </si>
  <si>
    <t>Hank Saunders</t>
  </si>
  <si>
    <t>Hank_Saunders8364@extex.org</t>
  </si>
  <si>
    <t>Chef Manager</t>
  </si>
  <si>
    <t>Eden Connell</t>
  </si>
  <si>
    <t>Eden_Connell4891@irrespy.com</t>
  </si>
  <si>
    <t>Owen Lindop</t>
  </si>
  <si>
    <t>Owen_Lindop4826@womeona.net</t>
  </si>
  <si>
    <t>Business Broker</t>
  </si>
  <si>
    <t>Barney Cavanagh</t>
  </si>
  <si>
    <t>Barney_Cavanagh8048@extex.org</t>
  </si>
  <si>
    <t>Fabricator</t>
  </si>
  <si>
    <t>Mason Randall</t>
  </si>
  <si>
    <t>Mason_Randall7355@sheye.org</t>
  </si>
  <si>
    <t>Food Technologist</t>
  </si>
  <si>
    <t>Penelope Burge</t>
  </si>
  <si>
    <t>Penelope_Burge3295@cispeto.com</t>
  </si>
  <si>
    <t>Book keeper</t>
  </si>
  <si>
    <t>Fred Stone</t>
  </si>
  <si>
    <t>Fred_Stone667@cispeto.com</t>
  </si>
  <si>
    <t>Stock broker</t>
  </si>
  <si>
    <t>Javier Power</t>
  </si>
  <si>
    <t>Javier_Power8197@infotech44.tech</t>
  </si>
  <si>
    <t>Designer</t>
  </si>
  <si>
    <t>Joyce London</t>
  </si>
  <si>
    <t>Joyce_London9945@bulaffy.com</t>
  </si>
  <si>
    <t>Steward</t>
  </si>
  <si>
    <t>Eduardo Dale</t>
  </si>
  <si>
    <t>Eduardo_Dale6990@sheye.org</t>
  </si>
  <si>
    <t>HR Coordinator</t>
  </si>
  <si>
    <t>Wade Hepburn</t>
  </si>
  <si>
    <t>Wade_Hepburn96@gmail.com</t>
  </si>
  <si>
    <t>Mobile Developer</t>
  </si>
  <si>
    <t>Barney Selby</t>
  </si>
  <si>
    <t>Barney_Selby4788@irrespy.com</t>
  </si>
  <si>
    <t>Baker</t>
  </si>
  <si>
    <t>Peter Daniells</t>
  </si>
  <si>
    <t>Peter_Daniells7930@guentu.biz</t>
  </si>
  <si>
    <t>Webmaster</t>
  </si>
  <si>
    <t>Percy Denton</t>
  </si>
  <si>
    <t>Percy_Denton5997@bretoux.com</t>
  </si>
  <si>
    <t>Treasurer</t>
  </si>
  <si>
    <t>Ronald Rycroft</t>
  </si>
  <si>
    <t>Ronald_Rycroft7391@fuliss.net</t>
  </si>
  <si>
    <t>Noah Kidd</t>
  </si>
  <si>
    <t>Noah_Kidd6142@gompie.com</t>
  </si>
  <si>
    <t>Banker</t>
  </si>
  <si>
    <t>Mark Freeburn</t>
  </si>
  <si>
    <t>Mark_Freeburn4410@brety.org</t>
  </si>
  <si>
    <t>Retail Trainee</t>
  </si>
  <si>
    <t>Melanie Cartwright</t>
  </si>
  <si>
    <t>Melanie_Cartwright8871@irrespy.com</t>
  </si>
  <si>
    <t>IT Support Staff</t>
  </si>
  <si>
    <t>Harvey Andrews</t>
  </si>
  <si>
    <t>Harvey_Andrews619@mafthy.com</t>
  </si>
  <si>
    <t>vlookap</t>
  </si>
  <si>
    <t xml:space="preserve">Emp Id </t>
  </si>
  <si>
    <t>Job title</t>
  </si>
  <si>
    <t>Hank</t>
  </si>
  <si>
    <t>Email</t>
  </si>
  <si>
    <t>Emp Id</t>
  </si>
  <si>
    <t xml:space="preserve">Hank Saunders </t>
  </si>
  <si>
    <t xml:space="preserve"> Eden Connell </t>
  </si>
  <si>
    <t xml:space="preserve">Owen Lindop </t>
  </si>
  <si>
    <t xml:space="preserve">Job_Title    </t>
  </si>
  <si>
    <t xml:space="preserve">  Project_Manager  </t>
  </si>
  <si>
    <t xml:space="preserve">  Chef Manager </t>
  </si>
  <si>
    <t xml:space="preserve">     Chef Manager      </t>
  </si>
  <si>
    <t xml:space="preserve"> Business Broker </t>
  </si>
  <si>
    <t xml:space="preserve">   Fabricator    </t>
  </si>
  <si>
    <t xml:space="preserve">     Food Technologist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</si>
</sst>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1"/>
    </xf>
    <xf numFmtId="0" fontId="0" fillId="0" borderId="0" xfId="0" pivotButton="1" applyAlignment="1">
      <alignment wrapText="1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4" fillId="0" borderId="0" xfId="1" applyAlignment="1">
      <alignment vertical="center"/>
    </xf>
    <xf numFmtId="8" fontId="0" fillId="0" borderId="0" xfId="0" applyNumberFormat="1" applyAlignment="1">
      <alignment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/>
    <xf numFmtId="0" fontId="3" fillId="0" borderId="0" xfId="0" applyFont="1" applyAlignment="1"/>
    <xf numFmtId="0" fontId="3" fillId="0" borderId="0" xfId="0" applyFont="1"/>
  </cellXfs>
  <cellStyles count="2">
    <cellStyle name="Hyperlink" xfId="1" builtinId="8"/>
    <cellStyle name="Normal" xfId="0" builtinId="0"/>
  </cellStyles>
  <dxfs count="9"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Excel%20projec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009.481320370367" createdVersion="6" refreshedVersion="6" minRefreshableVersion="3" recordCount="110">
  <cacheSource type="worksheet">
    <worksheetSource ref="A3:H177" sheet="Sheet1" r:id="rId2"/>
  </cacheSource>
  <cacheFields count="8">
    <cacheField name="Roll no" numFmtId="0">
      <sharedItems containsBlank="1" count="49">
        <s v="0128cs181001"/>
        <s v="0128cs181002"/>
        <s v="0128cs181003"/>
        <s v="0128cs181004"/>
        <s v="0128cs181005"/>
        <s v="0128cs181006"/>
        <s v="0128cs181007"/>
        <s v="0128cs181008"/>
        <s v="0128cs181009"/>
        <s v="0128cs181010"/>
        <s v="0128cs181011"/>
        <s v="0128cs181012"/>
        <s v="0128cs181013"/>
        <s v="0128cs181014"/>
        <s v="0128cs181015"/>
        <s v="0128cs181016"/>
        <s v="0128cs181017"/>
        <s v="0128cs181018"/>
        <s v="0128cs181019"/>
        <s v="0128cs181020"/>
        <s v="0128cs181021"/>
        <s v="0128cs181022"/>
        <s v="0128cs181023"/>
        <s v="0128cs181024"/>
        <s v="0128cs181025"/>
        <s v="0128cs181026"/>
        <s v="0128cs181027"/>
        <s v="0128cs181028"/>
        <s v="0128cs181029"/>
        <s v="0128cs181030"/>
        <s v="0128cs181031"/>
        <s v="0128cs181032"/>
        <s v="0128cs181033"/>
        <s v="0128cs181034"/>
        <s v="0128cs181035"/>
        <s v="0128cs181036"/>
        <s v="0128cs181037"/>
        <s v="0128cs181038"/>
        <s v="0128cs181039"/>
        <s v="0128cs181040"/>
        <s v="0128cs181041"/>
        <s v="0128cs181042"/>
        <s v="0128cs181043"/>
        <s v="0128cs181044"/>
        <s v="0128cs181045"/>
        <s v="0128cs181046"/>
        <s v="0128cs181047"/>
        <s v="max marks"/>
        <m/>
      </sharedItems>
    </cacheField>
    <cacheField name="Name" numFmtId="0">
      <sharedItems containsBlank="1" count="48">
        <s v="jone"/>
        <s v="piter"/>
        <s v="shiter"/>
        <s v="mitera"/>
        <s v="men"/>
        <s v="sen"/>
        <s v="den"/>
        <s v="holo"/>
        <s v="polo"/>
        <s v="shiko"/>
        <s v="miko"/>
        <s v="nikjo"/>
        <s v="jade"/>
        <s v="hhekr"/>
        <s v="kajl"/>
        <s v="kale"/>
        <s v="hkjke"/>
        <s v="kkje"/>
        <s v="kkhhe"/>
        <s v="kkhae"/>
        <s v="kamelh"/>
        <s v="sher"/>
        <s v="sir"/>
        <s v="kmei"/>
        <s v="klome"/>
        <s v="lome"/>
        <s v="love"/>
        <s v="same"/>
        <s v="mene"/>
        <s v="kosho"/>
        <s v="mila"/>
        <s v="kkaeme"/>
        <s v="khyier"/>
        <s v="koyoe"/>
        <s v="omuhe"/>
        <s v="kjlkay"/>
        <s v="ejhjhe"/>
        <s v="jojke"/>
        <s v="khu"/>
        <s v="jnaje"/>
        <s v="jhkaub"/>
        <s v="jgfujai"/>
        <s v="jayjm"/>
        <s v="jjrhj"/>
        <s v=" KJUIR"/>
        <s v="kimhs"/>
        <s v="student"/>
        <m/>
      </sharedItems>
    </cacheField>
    <cacheField name="Hindi " numFmtId="0">
      <sharedItems containsString="0" containsBlank="1" containsNumber="1" containsInteger="1" minValue="20" maxValue="100"/>
    </cacheField>
    <cacheField name="English" numFmtId="0">
      <sharedItems containsString="0" containsBlank="1" containsNumber="1" containsInteger="1" minValue="20" maxValue="100"/>
    </cacheField>
    <cacheField name="Math" numFmtId="0">
      <sharedItems containsString="0" containsBlank="1" containsNumber="1" containsInteger="1" minValue="13" maxValue="100"/>
    </cacheField>
    <cacheField name="Total " numFmtId="0">
      <sharedItems containsString="0" containsBlank="1" containsNumber="1" containsInteger="1" minValue="86" maxValue="300"/>
    </cacheField>
    <cacheField name="Percentage" numFmtId="0">
      <sharedItems containsString="0" containsBlank="1" containsNumber="1" minValue="28.666666666666668" maxValue="92.666666666666657" count="40">
        <n v="35"/>
        <n v="45"/>
        <n v="55.333333333333336"/>
        <n v="65.666666666666657"/>
        <n v="76"/>
        <n v="86.333333333333329"/>
        <n v="30"/>
        <n v="79.333333333333329"/>
        <n v="85.333333333333343"/>
        <n v="82.333333333333343"/>
        <n v="57.999999999999993"/>
        <n v="54.666666666666664"/>
        <n v="55.000000000000007"/>
        <n v="48"/>
        <n v="41.333333333333336"/>
        <n v="52.333333333333329"/>
        <n v="37.666666666666664"/>
        <n v="51.333333333333329"/>
        <n v="64.666666666666657"/>
        <n v="62"/>
        <n v="72.666666666666671"/>
        <n v="28.666666666666668"/>
        <n v="61"/>
        <n v="54.333333333333336"/>
        <n v="57.333333333333336"/>
        <n v="72"/>
        <n v="69.333333333333343"/>
        <n v="65.333333333333329"/>
        <n v="45.333333333333329"/>
        <n v="66.333333333333329"/>
        <n v="58.666666666666664"/>
        <n v="51.666666666666671"/>
        <n v="51"/>
        <n v="57.666666666666664"/>
        <n v="61.666666666666671"/>
        <n v="85.666666666666671"/>
        <n v="78"/>
        <n v="71.333333333333343"/>
        <n v="92.666666666666657"/>
        <m/>
      </sharedItems>
    </cacheField>
    <cacheField name="Result" numFmtId="0">
      <sharedItems containsBlank="1" count="3">
        <s v="Pass"/>
        <s v="Fail"/>
        <m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0">
  <r>
    <x v="0"/>
    <x v="0"/>
    <n v="40"/>
    <n v="20"/>
    <n v="45"/>
    <n v="105"/>
    <x v="0"/>
    <x v="0"/>
  </r>
  <r>
    <x v="1"/>
    <x v="1"/>
    <n v="50"/>
    <n v="30"/>
    <n v="55"/>
    <n v="135"/>
    <x v="1"/>
    <x v="0"/>
  </r>
  <r>
    <x v="2"/>
    <x v="2"/>
    <n v="60"/>
    <n v="40"/>
    <n v="66"/>
    <n v="166"/>
    <x v="2"/>
    <x v="0"/>
  </r>
  <r>
    <x v="3"/>
    <x v="3"/>
    <n v="70"/>
    <n v="50"/>
    <n v="77"/>
    <n v="197"/>
    <x v="3"/>
    <x v="0"/>
  </r>
  <r>
    <x v="4"/>
    <x v="4"/>
    <n v="80"/>
    <n v="60"/>
    <n v="88"/>
    <n v="228"/>
    <x v="4"/>
    <x v="0"/>
  </r>
  <r>
    <x v="5"/>
    <x v="5"/>
    <n v="90"/>
    <n v="70"/>
    <n v="99"/>
    <n v="259"/>
    <x v="5"/>
    <x v="0"/>
  </r>
  <r>
    <x v="6"/>
    <x v="6"/>
    <n v="23"/>
    <n v="34"/>
    <n v="33"/>
    <n v="90"/>
    <x v="6"/>
    <x v="1"/>
  </r>
  <r>
    <x v="7"/>
    <x v="7"/>
    <n v="90"/>
    <n v="90"/>
    <n v="58"/>
    <n v="238"/>
    <x v="7"/>
    <x v="0"/>
  </r>
  <r>
    <x v="8"/>
    <x v="8"/>
    <n v="80"/>
    <n v="100"/>
    <n v="76"/>
    <n v="256"/>
    <x v="8"/>
    <x v="0"/>
  </r>
  <r>
    <x v="9"/>
    <x v="9"/>
    <n v="70"/>
    <n v="90"/>
    <n v="87"/>
    <n v="247"/>
    <x v="9"/>
    <x v="0"/>
  </r>
  <r>
    <x v="10"/>
    <x v="10"/>
    <n v="60"/>
    <n v="80"/>
    <n v="34"/>
    <n v="174"/>
    <x v="10"/>
    <x v="0"/>
  </r>
  <r>
    <x v="11"/>
    <x v="11"/>
    <n v="50"/>
    <n v="70"/>
    <n v="44"/>
    <n v="164"/>
    <x v="11"/>
    <x v="0"/>
  </r>
  <r>
    <x v="12"/>
    <x v="12"/>
    <n v="40"/>
    <n v="60"/>
    <n v="65"/>
    <n v="165"/>
    <x v="12"/>
    <x v="0"/>
  </r>
  <r>
    <x v="13"/>
    <x v="13"/>
    <n v="40"/>
    <n v="50"/>
    <n v="76"/>
    <n v="166"/>
    <x v="2"/>
    <x v="0"/>
  </r>
  <r>
    <x v="14"/>
    <x v="14"/>
    <n v="50"/>
    <n v="40"/>
    <n v="54"/>
    <n v="144"/>
    <x v="13"/>
    <x v="0"/>
  </r>
  <r>
    <x v="15"/>
    <x v="15"/>
    <n v="60"/>
    <n v="30"/>
    <n v="34"/>
    <n v="124"/>
    <x v="14"/>
    <x v="0"/>
  </r>
  <r>
    <x v="16"/>
    <x v="16"/>
    <n v="70"/>
    <n v="20"/>
    <n v="67"/>
    <n v="157"/>
    <x v="15"/>
    <x v="0"/>
  </r>
  <r>
    <x v="17"/>
    <x v="17"/>
    <n v="80"/>
    <n v="20"/>
    <n v="13"/>
    <n v="113"/>
    <x v="16"/>
    <x v="0"/>
  </r>
  <r>
    <x v="18"/>
    <x v="18"/>
    <n v="90"/>
    <n v="30"/>
    <n v="34"/>
    <n v="154"/>
    <x v="17"/>
    <x v="0"/>
  </r>
  <r>
    <x v="19"/>
    <x v="19"/>
    <n v="100"/>
    <n v="40"/>
    <n v="54"/>
    <n v="194"/>
    <x v="18"/>
    <x v="0"/>
  </r>
  <r>
    <x v="20"/>
    <x v="20"/>
    <n v="90"/>
    <n v="50"/>
    <n v="46"/>
    <n v="186"/>
    <x v="19"/>
    <x v="0"/>
  </r>
  <r>
    <x v="21"/>
    <x v="21"/>
    <n v="80"/>
    <n v="60"/>
    <n v="78"/>
    <n v="218"/>
    <x v="20"/>
    <x v="0"/>
  </r>
  <r>
    <x v="22"/>
    <x v="22"/>
    <n v="20"/>
    <n v="33"/>
    <n v="33"/>
    <n v="86"/>
    <x v="21"/>
    <x v="1"/>
  </r>
  <r>
    <x v="23"/>
    <x v="23"/>
    <n v="60"/>
    <n v="80"/>
    <n v="43"/>
    <n v="183"/>
    <x v="22"/>
    <x v="0"/>
  </r>
  <r>
    <x v="24"/>
    <x v="24"/>
    <n v="50"/>
    <n v="90"/>
    <n v="23"/>
    <n v="163"/>
    <x v="23"/>
    <x v="0"/>
  </r>
  <r>
    <x v="25"/>
    <x v="25"/>
    <n v="40"/>
    <n v="100"/>
    <n v="32"/>
    <n v="172"/>
    <x v="24"/>
    <x v="0"/>
  </r>
  <r>
    <x v="26"/>
    <x v="26"/>
    <n v="40"/>
    <n v="100"/>
    <n v="24"/>
    <n v="164"/>
    <x v="11"/>
    <x v="0"/>
  </r>
  <r>
    <x v="27"/>
    <x v="27"/>
    <n v="50"/>
    <n v="90"/>
    <n v="76"/>
    <n v="216"/>
    <x v="25"/>
    <x v="0"/>
  </r>
  <r>
    <x v="28"/>
    <x v="28"/>
    <n v="50"/>
    <n v="80"/>
    <n v="78"/>
    <n v="208"/>
    <x v="26"/>
    <x v="0"/>
  </r>
  <r>
    <x v="29"/>
    <x v="29"/>
    <n v="60"/>
    <n v="70"/>
    <n v="98"/>
    <n v="228"/>
    <x v="4"/>
    <x v="0"/>
  </r>
  <r>
    <x v="30"/>
    <x v="30"/>
    <n v="70"/>
    <n v="60"/>
    <n v="66"/>
    <n v="196"/>
    <x v="27"/>
    <x v="0"/>
  </r>
  <r>
    <x v="31"/>
    <x v="15"/>
    <n v="80"/>
    <n v="50"/>
    <n v="44"/>
    <n v="174"/>
    <x v="10"/>
    <x v="0"/>
  </r>
  <r>
    <x v="32"/>
    <x v="31"/>
    <n v="90"/>
    <n v="40"/>
    <n v="67"/>
    <n v="197"/>
    <x v="3"/>
    <x v="0"/>
  </r>
  <r>
    <x v="33"/>
    <x v="32"/>
    <n v="100"/>
    <n v="30"/>
    <n v="88"/>
    <n v="218"/>
    <x v="20"/>
    <x v="0"/>
  </r>
  <r>
    <x v="34"/>
    <x v="33"/>
    <n v="90"/>
    <n v="20"/>
    <n v="56"/>
    <n v="166"/>
    <x v="2"/>
    <x v="0"/>
  </r>
  <r>
    <x v="35"/>
    <x v="34"/>
    <n v="80"/>
    <n v="20"/>
    <n v="54"/>
    <n v="154"/>
    <x v="17"/>
    <x v="0"/>
  </r>
  <r>
    <x v="36"/>
    <x v="35"/>
    <n v="70"/>
    <n v="30"/>
    <n v="36"/>
    <n v="136"/>
    <x v="28"/>
    <x v="0"/>
  </r>
  <r>
    <x v="37"/>
    <x v="36"/>
    <n v="60"/>
    <n v="40"/>
    <n v="99"/>
    <n v="199"/>
    <x v="29"/>
    <x v="0"/>
  </r>
  <r>
    <x v="38"/>
    <x v="37"/>
    <n v="50"/>
    <n v="50"/>
    <n v="76"/>
    <n v="176"/>
    <x v="30"/>
    <x v="0"/>
  </r>
  <r>
    <x v="39"/>
    <x v="38"/>
    <n v="40"/>
    <n v="60"/>
    <n v="55"/>
    <n v="155"/>
    <x v="31"/>
    <x v="0"/>
  </r>
  <r>
    <x v="40"/>
    <x v="39"/>
    <n v="40"/>
    <n v="70"/>
    <n v="43"/>
    <n v="153"/>
    <x v="32"/>
    <x v="0"/>
  </r>
  <r>
    <x v="41"/>
    <x v="40"/>
    <n v="50"/>
    <n v="80"/>
    <n v="43"/>
    <n v="173"/>
    <x v="33"/>
    <x v="0"/>
  </r>
  <r>
    <x v="42"/>
    <x v="41"/>
    <n v="60"/>
    <n v="90"/>
    <n v="35"/>
    <n v="185"/>
    <x v="34"/>
    <x v="0"/>
  </r>
  <r>
    <x v="43"/>
    <x v="42"/>
    <n v="70"/>
    <n v="100"/>
    <n v="87"/>
    <n v="257"/>
    <x v="35"/>
    <x v="0"/>
  </r>
  <r>
    <x v="44"/>
    <x v="43"/>
    <n v="80"/>
    <n v="100"/>
    <n v="54"/>
    <n v="234"/>
    <x v="36"/>
    <x v="0"/>
  </r>
  <r>
    <x v="45"/>
    <x v="44"/>
    <n v="90"/>
    <n v="90"/>
    <n v="34"/>
    <n v="214"/>
    <x v="37"/>
    <x v="0"/>
  </r>
  <r>
    <x v="46"/>
    <x v="45"/>
    <n v="100"/>
    <n v="80"/>
    <n v="98"/>
    <n v="278"/>
    <x v="38"/>
    <x v="0"/>
  </r>
  <r>
    <x v="47"/>
    <x v="46"/>
    <n v="100"/>
    <n v="100"/>
    <n v="100"/>
    <n v="300"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  <r>
    <x v="48"/>
    <x v="47"/>
    <m/>
    <m/>
    <m/>
    <m/>
    <x v="3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L6:L23" firstHeaderRow="1" firstDataRow="1" firstDataCol="1"/>
  <pivotFields count="8">
    <pivotField axis="axisRow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axis="axisRow" showAll="0">
      <items count="49">
        <item x="44"/>
        <item x="6"/>
        <item x="36"/>
        <item x="13"/>
        <item x="16"/>
        <item x="7"/>
        <item x="12"/>
        <item x="42"/>
        <item x="41"/>
        <item x="40"/>
        <item x="43"/>
        <item x="39"/>
        <item x="37"/>
        <item x="0"/>
        <item x="14"/>
        <item x="15"/>
        <item x="20"/>
        <item x="38"/>
        <item x="32"/>
        <item x="45"/>
        <item x="35"/>
        <item x="31"/>
        <item x="19"/>
        <item x="18"/>
        <item x="17"/>
        <item x="24"/>
        <item x="23"/>
        <item x="29"/>
        <item x="33"/>
        <item x="25"/>
        <item x="26"/>
        <item x="4"/>
        <item x="28"/>
        <item x="10"/>
        <item x="30"/>
        <item x="3"/>
        <item x="11"/>
        <item x="34"/>
        <item x="1"/>
        <item x="8"/>
        <item x="27"/>
        <item x="5"/>
        <item x="21"/>
        <item x="9"/>
        <item x="2"/>
        <item x="22"/>
        <item x="46"/>
        <item x="47"/>
        <item t="default"/>
      </items>
    </pivotField>
    <pivotField showAll="0"/>
    <pivotField showAll="0"/>
    <pivotField showAll="0"/>
    <pivotField showAll="0"/>
    <pivotField axis="axisRow" showAll="0">
      <items count="41">
        <item h="1" x="21"/>
        <item h="1" x="6"/>
        <item h="1" x="0"/>
        <item h="1" x="16"/>
        <item h="1" x="14"/>
        <item h="1" x="1"/>
        <item h="1" x="28"/>
        <item h="1" x="13"/>
        <item h="1" x="32"/>
        <item h="1" x="17"/>
        <item h="1" x="31"/>
        <item h="1" x="15"/>
        <item h="1" x="23"/>
        <item h="1" x="11"/>
        <item h="1" x="12"/>
        <item h="1" x="2"/>
        <item h="1" x="24"/>
        <item h="1" x="33"/>
        <item h="1" x="10"/>
        <item h="1" x="30"/>
        <item h="1" x="22"/>
        <item h="1" x="34"/>
        <item h="1" x="19"/>
        <item h="1" x="18"/>
        <item h="1" x="27"/>
        <item h="1" x="3"/>
        <item h="1" x="29"/>
        <item h="1" x="26"/>
        <item h="1" x="37"/>
        <item h="1" x="25"/>
        <item h="1" x="20"/>
        <item h="1" x="4"/>
        <item h="1" x="36"/>
        <item h="1" x="7"/>
        <item h="1" x="9"/>
        <item x="8"/>
        <item x="35"/>
        <item x="5"/>
        <item x="38"/>
        <item h="1" x="39"/>
        <item t="default"/>
      </items>
    </pivotField>
    <pivotField axis="axisRow" showAll="0">
      <items count="4">
        <item x="1"/>
        <item x="0"/>
        <item x="2"/>
        <item t="default"/>
      </items>
    </pivotField>
  </pivotFields>
  <rowFields count="4">
    <field x="0"/>
    <field x="1"/>
    <field x="6"/>
    <field x="7"/>
  </rowFields>
  <rowItems count="17">
    <i>
      <x v="5"/>
    </i>
    <i r="1">
      <x v="41"/>
    </i>
    <i r="2">
      <x v="37"/>
    </i>
    <i r="3">
      <x v="1"/>
    </i>
    <i>
      <x v="8"/>
    </i>
    <i r="1">
      <x v="39"/>
    </i>
    <i r="2">
      <x v="35"/>
    </i>
    <i r="3">
      <x v="1"/>
    </i>
    <i>
      <x v="43"/>
    </i>
    <i r="1">
      <x v="7"/>
    </i>
    <i r="2">
      <x v="36"/>
    </i>
    <i r="3">
      <x v="1"/>
    </i>
    <i>
      <x v="46"/>
    </i>
    <i r="1">
      <x v="19"/>
    </i>
    <i r="2">
      <x v="38"/>
    </i>
    <i r="3">
      <x v="1"/>
    </i>
    <i t="grand">
      <x/>
    </i>
  </rowItems>
  <colItems count="1">
    <i/>
  </colItems>
  <formats count="9">
    <format dxfId="8">
      <pivotArea field="0" type="button" dataOnly="0" labelOnly="1" outline="0" axis="axisRow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4">
            <x v="5"/>
            <x v="8"/>
            <x v="43"/>
            <x v="46"/>
          </reference>
        </references>
      </pivotArea>
    </format>
    <format dxfId="5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4">
            <x v="5"/>
            <x v="8"/>
            <x v="43"/>
            <x v="46"/>
          </reference>
        </references>
      </pivotArea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4">
            <x v="5"/>
            <x v="8"/>
            <x v="43"/>
            <x v="46"/>
          </reference>
        </references>
      </pivotArea>
    </format>
    <format dxfId="1">
      <pivotArea field="0" type="button" dataOnly="0" labelOnly="1" outline="0" axis="axisRow" fieldPosition="0"/>
    </format>
    <format dxfId="0">
      <pivotArea dataOnly="0" labelOnly="1" fieldPosition="0">
        <references count="1">
          <reference field="0" count="4">
            <x v="5"/>
            <x v="8"/>
            <x v="43"/>
            <x v="4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Fred_Stone667@cispeto.com" TargetMode="External"/><Relationship Id="rId13" Type="http://schemas.openxmlformats.org/officeDocument/2006/relationships/hyperlink" Target="mailto:Barney_Selby4788@irrespy.com" TargetMode="External"/><Relationship Id="rId18" Type="http://schemas.openxmlformats.org/officeDocument/2006/relationships/hyperlink" Target="mailto:Mark_Freeburn4410@brety.org" TargetMode="External"/><Relationship Id="rId3" Type="http://schemas.openxmlformats.org/officeDocument/2006/relationships/hyperlink" Target="mailto:Eden_Connell4891@irrespy.com" TargetMode="External"/><Relationship Id="rId7" Type="http://schemas.openxmlformats.org/officeDocument/2006/relationships/hyperlink" Target="mailto:Penelope_Burge3295@cispeto.com" TargetMode="External"/><Relationship Id="rId12" Type="http://schemas.openxmlformats.org/officeDocument/2006/relationships/hyperlink" Target="mailto:Wade_Hepburn96@gmail.com" TargetMode="External"/><Relationship Id="rId17" Type="http://schemas.openxmlformats.org/officeDocument/2006/relationships/hyperlink" Target="mailto:Noah_Kidd6142@gompie.com" TargetMode="External"/><Relationship Id="rId2" Type="http://schemas.openxmlformats.org/officeDocument/2006/relationships/hyperlink" Target="mailto:Hank_Saunders8364@extex.org" TargetMode="External"/><Relationship Id="rId16" Type="http://schemas.openxmlformats.org/officeDocument/2006/relationships/hyperlink" Target="mailto:Ronald_Rycroft7391@fuliss.net" TargetMode="External"/><Relationship Id="rId20" Type="http://schemas.openxmlformats.org/officeDocument/2006/relationships/hyperlink" Target="mailto:Harvey_Andrews619@mafthy.com" TargetMode="External"/><Relationship Id="rId1" Type="http://schemas.openxmlformats.org/officeDocument/2006/relationships/hyperlink" Target="mailto:Rocco_Anderson5427@acrit.org" TargetMode="External"/><Relationship Id="rId6" Type="http://schemas.openxmlformats.org/officeDocument/2006/relationships/hyperlink" Target="mailto:Mason_Randall7355@sheye.org" TargetMode="External"/><Relationship Id="rId11" Type="http://schemas.openxmlformats.org/officeDocument/2006/relationships/hyperlink" Target="mailto:Eduardo_Dale6990@sheye.org" TargetMode="External"/><Relationship Id="rId5" Type="http://schemas.openxmlformats.org/officeDocument/2006/relationships/hyperlink" Target="mailto:Barney_Cavanagh8048@extex.org" TargetMode="External"/><Relationship Id="rId15" Type="http://schemas.openxmlformats.org/officeDocument/2006/relationships/hyperlink" Target="mailto:Percy_Denton5997@bretoux.com" TargetMode="External"/><Relationship Id="rId10" Type="http://schemas.openxmlformats.org/officeDocument/2006/relationships/hyperlink" Target="mailto:Joyce_London9945@bulaffy.com" TargetMode="External"/><Relationship Id="rId19" Type="http://schemas.openxmlformats.org/officeDocument/2006/relationships/hyperlink" Target="mailto:Melanie_Cartwright8871@irrespy.com" TargetMode="External"/><Relationship Id="rId4" Type="http://schemas.openxmlformats.org/officeDocument/2006/relationships/hyperlink" Target="mailto:Owen_Lindop4826@womeona.net" TargetMode="External"/><Relationship Id="rId9" Type="http://schemas.openxmlformats.org/officeDocument/2006/relationships/hyperlink" Target="mailto:Javier_Power8197@infotech44.tech" TargetMode="External"/><Relationship Id="rId14" Type="http://schemas.openxmlformats.org/officeDocument/2006/relationships/hyperlink" Target="mailto:Peter_Daniells7930@guentu.biz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workbookViewId="0">
      <selection activeCell="N17" sqref="N17"/>
    </sheetView>
  </sheetViews>
  <sheetFormatPr defaultRowHeight="14.5" x14ac:dyDescent="0.35"/>
  <cols>
    <col min="1" max="1" width="25" bestFit="1" customWidth="1"/>
    <col min="7" max="7" width="10.36328125" bestFit="1" customWidth="1"/>
    <col min="9" max="9" width="16.36328125" customWidth="1"/>
    <col min="12" max="12" width="17.7265625" customWidth="1"/>
  </cols>
  <sheetData>
    <row r="1" spans="1:12" x14ac:dyDescent="0.35">
      <c r="A1" s="2" t="s">
        <v>0</v>
      </c>
      <c r="B1" s="1"/>
      <c r="C1" s="1"/>
    </row>
    <row r="3" spans="1:12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12" x14ac:dyDescent="0.35">
      <c r="A4" t="s">
        <v>9</v>
      </c>
      <c r="B4" t="s">
        <v>56</v>
      </c>
      <c r="C4">
        <v>40</v>
      </c>
      <c r="D4">
        <v>20</v>
      </c>
      <c r="E4">
        <v>45</v>
      </c>
      <c r="F4">
        <f>C4+D4+E4</f>
        <v>105</v>
      </c>
      <c r="G4">
        <f>(F4/300)*100</f>
        <v>35</v>
      </c>
      <c r="H4" t="str">
        <f>IF(G4&gt;33,"Pass","Fail")</f>
        <v>Pass</v>
      </c>
      <c r="I4" t="s">
        <v>104</v>
      </c>
      <c r="J4" t="s">
        <v>106</v>
      </c>
    </row>
    <row r="5" spans="1:12" x14ac:dyDescent="0.35">
      <c r="A5" t="s">
        <v>10</v>
      </c>
      <c r="B5" t="s">
        <v>57</v>
      </c>
      <c r="C5">
        <v>50</v>
      </c>
      <c r="D5">
        <v>30</v>
      </c>
      <c r="E5">
        <v>55</v>
      </c>
      <c r="F5">
        <f t="shared" ref="F5:F51" si="0">C5+D5+E5</f>
        <v>135</v>
      </c>
      <c r="G5">
        <f t="shared" ref="G5:G50" si="1">(F5/300)*100</f>
        <v>45</v>
      </c>
      <c r="H5" t="str">
        <f t="shared" ref="H5:H50" si="2">IF(G5&gt;33,"Pass","Fail")</f>
        <v>Pass</v>
      </c>
      <c r="I5" t="s">
        <v>1</v>
      </c>
      <c r="J5" t="s">
        <v>105</v>
      </c>
      <c r="K5" t="s">
        <v>107</v>
      </c>
    </row>
    <row r="6" spans="1:12" x14ac:dyDescent="0.35">
      <c r="A6" t="s">
        <v>11</v>
      </c>
      <c r="B6" t="s">
        <v>58</v>
      </c>
      <c r="C6">
        <v>60</v>
      </c>
      <c r="D6">
        <v>40</v>
      </c>
      <c r="E6">
        <v>66</v>
      </c>
      <c r="F6">
        <f t="shared" si="0"/>
        <v>166</v>
      </c>
      <c r="G6" s="4">
        <f t="shared" si="1"/>
        <v>55.333333333333336</v>
      </c>
      <c r="H6" t="str">
        <f t="shared" si="2"/>
        <v>Pass</v>
      </c>
      <c r="I6" s="12" t="s">
        <v>14</v>
      </c>
      <c r="J6" s="9" t="s">
        <v>61</v>
      </c>
      <c r="K6" s="7">
        <v>86.333333333333329</v>
      </c>
      <c r="L6" s="10" t="s">
        <v>108</v>
      </c>
    </row>
    <row r="7" spans="1:12" x14ac:dyDescent="0.35">
      <c r="A7" t="s">
        <v>12</v>
      </c>
      <c r="B7" t="s">
        <v>59</v>
      </c>
      <c r="C7">
        <v>70</v>
      </c>
      <c r="D7">
        <v>50</v>
      </c>
      <c r="E7">
        <v>77</v>
      </c>
      <c r="F7">
        <f t="shared" si="0"/>
        <v>197</v>
      </c>
      <c r="G7" s="4">
        <f t="shared" si="1"/>
        <v>65.666666666666657</v>
      </c>
      <c r="H7" t="str">
        <f t="shared" si="2"/>
        <v>Pass</v>
      </c>
      <c r="I7" s="12" t="s">
        <v>17</v>
      </c>
      <c r="J7" s="9" t="s">
        <v>64</v>
      </c>
      <c r="K7" s="7">
        <v>85.333333333333343</v>
      </c>
      <c r="L7" s="11" t="s">
        <v>14</v>
      </c>
    </row>
    <row r="8" spans="1:12" x14ac:dyDescent="0.35">
      <c r="A8" t="s">
        <v>13</v>
      </c>
      <c r="B8" t="s">
        <v>60</v>
      </c>
      <c r="C8">
        <v>80</v>
      </c>
      <c r="D8">
        <v>60</v>
      </c>
      <c r="E8">
        <v>88</v>
      </c>
      <c r="F8">
        <f t="shared" si="0"/>
        <v>228</v>
      </c>
      <c r="G8" s="4">
        <f t="shared" si="1"/>
        <v>76</v>
      </c>
      <c r="H8" t="str">
        <f t="shared" si="2"/>
        <v>Pass</v>
      </c>
      <c r="I8" s="12" t="s">
        <v>52</v>
      </c>
      <c r="J8" s="9" t="s">
        <v>97</v>
      </c>
      <c r="K8" s="7">
        <v>85.666666666666671</v>
      </c>
      <c r="L8" s="6" t="s">
        <v>61</v>
      </c>
    </row>
    <row r="9" spans="1:12" x14ac:dyDescent="0.35">
      <c r="A9" t="s">
        <v>14</v>
      </c>
      <c r="B9" t="s">
        <v>61</v>
      </c>
      <c r="C9">
        <v>90</v>
      </c>
      <c r="D9">
        <v>70</v>
      </c>
      <c r="E9">
        <v>99</v>
      </c>
      <c r="F9">
        <f t="shared" si="0"/>
        <v>259</v>
      </c>
      <c r="G9" s="4">
        <f t="shared" si="1"/>
        <v>86.333333333333329</v>
      </c>
      <c r="H9" t="str">
        <f t="shared" si="2"/>
        <v>Pass</v>
      </c>
      <c r="I9" s="12" t="s">
        <v>55</v>
      </c>
      <c r="J9" s="9" t="s">
        <v>98</v>
      </c>
      <c r="K9" s="7">
        <v>92.666666666666657</v>
      </c>
      <c r="L9" s="7">
        <v>86.333333333333329</v>
      </c>
    </row>
    <row r="10" spans="1:12" x14ac:dyDescent="0.35">
      <c r="A10" t="s">
        <v>15</v>
      </c>
      <c r="B10" t="s">
        <v>62</v>
      </c>
      <c r="C10">
        <v>23</v>
      </c>
      <c r="D10">
        <v>34</v>
      </c>
      <c r="E10">
        <v>33</v>
      </c>
      <c r="F10">
        <f t="shared" si="0"/>
        <v>90</v>
      </c>
      <c r="G10" s="4">
        <f t="shared" si="1"/>
        <v>30</v>
      </c>
      <c r="H10" t="str">
        <f t="shared" si="2"/>
        <v>Fail</v>
      </c>
      <c r="L10" s="8" t="s">
        <v>110</v>
      </c>
    </row>
    <row r="11" spans="1:12" x14ac:dyDescent="0.35">
      <c r="A11" t="s">
        <v>16</v>
      </c>
      <c r="B11" t="s">
        <v>63</v>
      </c>
      <c r="C11">
        <v>90</v>
      </c>
      <c r="D11">
        <v>90</v>
      </c>
      <c r="E11">
        <v>58</v>
      </c>
      <c r="F11">
        <f t="shared" si="0"/>
        <v>238</v>
      </c>
      <c r="G11" s="4">
        <f t="shared" si="1"/>
        <v>79.333333333333329</v>
      </c>
      <c r="H11" t="str">
        <f t="shared" si="2"/>
        <v>Pass</v>
      </c>
      <c r="L11" s="11" t="s">
        <v>17</v>
      </c>
    </row>
    <row r="12" spans="1:12" x14ac:dyDescent="0.35">
      <c r="A12" t="s">
        <v>17</v>
      </c>
      <c r="B12" t="s">
        <v>64</v>
      </c>
      <c r="C12">
        <v>80</v>
      </c>
      <c r="D12">
        <v>100</v>
      </c>
      <c r="E12">
        <v>76</v>
      </c>
      <c r="F12">
        <f t="shared" si="0"/>
        <v>256</v>
      </c>
      <c r="G12" s="4">
        <f t="shared" si="1"/>
        <v>85.333333333333343</v>
      </c>
      <c r="H12" t="str">
        <f t="shared" si="2"/>
        <v>Pass</v>
      </c>
      <c r="L12" s="6" t="s">
        <v>64</v>
      </c>
    </row>
    <row r="13" spans="1:12" x14ac:dyDescent="0.35">
      <c r="A13" t="s">
        <v>18</v>
      </c>
      <c r="B13" t="s">
        <v>65</v>
      </c>
      <c r="C13">
        <v>70</v>
      </c>
      <c r="D13">
        <v>90</v>
      </c>
      <c r="E13">
        <v>87</v>
      </c>
      <c r="F13">
        <f t="shared" si="0"/>
        <v>247</v>
      </c>
      <c r="G13" s="4">
        <f t="shared" si="1"/>
        <v>82.333333333333343</v>
      </c>
      <c r="H13" t="str">
        <f t="shared" si="2"/>
        <v>Pass</v>
      </c>
      <c r="I13" s="6"/>
      <c r="L13" s="7">
        <v>85.333333333333343</v>
      </c>
    </row>
    <row r="14" spans="1:12" x14ac:dyDescent="0.35">
      <c r="A14" t="s">
        <v>19</v>
      </c>
      <c r="B14" t="s">
        <v>66</v>
      </c>
      <c r="C14">
        <v>60</v>
      </c>
      <c r="D14">
        <v>80</v>
      </c>
      <c r="E14">
        <v>34</v>
      </c>
      <c r="F14">
        <f t="shared" si="0"/>
        <v>174</v>
      </c>
      <c r="G14" s="4">
        <f t="shared" si="1"/>
        <v>57.999999999999993</v>
      </c>
      <c r="H14" t="str">
        <f t="shared" si="2"/>
        <v>Pass</v>
      </c>
      <c r="I14" s="7"/>
      <c r="L14" s="8" t="s">
        <v>110</v>
      </c>
    </row>
    <row r="15" spans="1:12" x14ac:dyDescent="0.35">
      <c r="A15" t="s">
        <v>20</v>
      </c>
      <c r="B15" t="s">
        <v>67</v>
      </c>
      <c r="C15">
        <v>50</v>
      </c>
      <c r="D15">
        <v>70</v>
      </c>
      <c r="E15">
        <v>44</v>
      </c>
      <c r="F15">
        <f t="shared" si="0"/>
        <v>164</v>
      </c>
      <c r="G15" s="4">
        <f t="shared" si="1"/>
        <v>54.666666666666664</v>
      </c>
      <c r="H15" t="str">
        <f t="shared" si="2"/>
        <v>Pass</v>
      </c>
      <c r="I15" s="6"/>
      <c r="L15" s="11" t="s">
        <v>52</v>
      </c>
    </row>
    <row r="16" spans="1:12" x14ac:dyDescent="0.35">
      <c r="A16" t="s">
        <v>21</v>
      </c>
      <c r="B16" t="s">
        <v>68</v>
      </c>
      <c r="C16">
        <v>40</v>
      </c>
      <c r="D16">
        <v>60</v>
      </c>
      <c r="E16">
        <v>65</v>
      </c>
      <c r="F16">
        <f t="shared" si="0"/>
        <v>165</v>
      </c>
      <c r="G16" s="4">
        <f t="shared" si="1"/>
        <v>55.000000000000007</v>
      </c>
      <c r="H16" t="str">
        <f t="shared" si="2"/>
        <v>Pass</v>
      </c>
      <c r="I16" s="7"/>
      <c r="L16" s="6" t="s">
        <v>97</v>
      </c>
    </row>
    <row r="17" spans="1:12" x14ac:dyDescent="0.35">
      <c r="A17" t="s">
        <v>22</v>
      </c>
      <c r="B17" t="s">
        <v>69</v>
      </c>
      <c r="C17">
        <v>40</v>
      </c>
      <c r="D17">
        <v>50</v>
      </c>
      <c r="E17">
        <v>76</v>
      </c>
      <c r="F17">
        <f t="shared" si="0"/>
        <v>166</v>
      </c>
      <c r="G17" s="4">
        <f t="shared" si="1"/>
        <v>55.333333333333336</v>
      </c>
      <c r="H17" t="str">
        <f t="shared" si="2"/>
        <v>Pass</v>
      </c>
      <c r="I17" s="6"/>
      <c r="L17" s="7">
        <v>85.666666666666671</v>
      </c>
    </row>
    <row r="18" spans="1:12" x14ac:dyDescent="0.35">
      <c r="A18" t="s">
        <v>23</v>
      </c>
      <c r="B18" t="s">
        <v>70</v>
      </c>
      <c r="C18">
        <v>50</v>
      </c>
      <c r="D18">
        <v>40</v>
      </c>
      <c r="E18">
        <v>54</v>
      </c>
      <c r="F18">
        <f t="shared" si="0"/>
        <v>144</v>
      </c>
      <c r="G18" s="4">
        <f t="shared" si="1"/>
        <v>48</v>
      </c>
      <c r="H18" t="str">
        <f t="shared" si="2"/>
        <v>Pass</v>
      </c>
      <c r="I18" s="7"/>
      <c r="L18" s="8" t="s">
        <v>110</v>
      </c>
    </row>
    <row r="19" spans="1:12" x14ac:dyDescent="0.35">
      <c r="A19" t="s">
        <v>24</v>
      </c>
      <c r="B19" t="s">
        <v>71</v>
      </c>
      <c r="C19">
        <v>60</v>
      </c>
      <c r="D19">
        <v>30</v>
      </c>
      <c r="E19">
        <v>34</v>
      </c>
      <c r="F19">
        <f t="shared" si="0"/>
        <v>124</v>
      </c>
      <c r="G19" s="4">
        <f t="shared" si="1"/>
        <v>41.333333333333336</v>
      </c>
      <c r="H19" t="str">
        <f t="shared" si="2"/>
        <v>Pass</v>
      </c>
      <c r="I19" s="6"/>
      <c r="L19" s="11" t="s">
        <v>55</v>
      </c>
    </row>
    <row r="20" spans="1:12" x14ac:dyDescent="0.35">
      <c r="A20" t="s">
        <v>25</v>
      </c>
      <c r="B20" t="s">
        <v>72</v>
      </c>
      <c r="C20">
        <v>70</v>
      </c>
      <c r="D20">
        <v>20</v>
      </c>
      <c r="E20">
        <v>67</v>
      </c>
      <c r="F20">
        <f t="shared" si="0"/>
        <v>157</v>
      </c>
      <c r="G20" s="4">
        <f t="shared" si="1"/>
        <v>52.333333333333329</v>
      </c>
      <c r="H20" t="str">
        <f t="shared" si="2"/>
        <v>Pass</v>
      </c>
      <c r="I20" s="7"/>
      <c r="L20" s="6" t="s">
        <v>98</v>
      </c>
    </row>
    <row r="21" spans="1:12" x14ac:dyDescent="0.35">
      <c r="A21" t="s">
        <v>26</v>
      </c>
      <c r="B21" t="s">
        <v>73</v>
      </c>
      <c r="C21">
        <v>80</v>
      </c>
      <c r="D21">
        <v>20</v>
      </c>
      <c r="E21">
        <v>13</v>
      </c>
      <c r="F21">
        <f t="shared" si="0"/>
        <v>113</v>
      </c>
      <c r="G21" s="4">
        <f t="shared" si="1"/>
        <v>37.666666666666664</v>
      </c>
      <c r="H21" t="str">
        <f t="shared" si="2"/>
        <v>Pass</v>
      </c>
      <c r="I21" s="6"/>
      <c r="L21" s="7">
        <v>92.666666666666657</v>
      </c>
    </row>
    <row r="22" spans="1:12" x14ac:dyDescent="0.35">
      <c r="A22" t="s">
        <v>27</v>
      </c>
      <c r="B22" t="s">
        <v>74</v>
      </c>
      <c r="C22">
        <v>90</v>
      </c>
      <c r="D22">
        <v>30</v>
      </c>
      <c r="E22">
        <v>34</v>
      </c>
      <c r="F22">
        <f t="shared" si="0"/>
        <v>154</v>
      </c>
      <c r="G22" s="4">
        <f t="shared" si="1"/>
        <v>51.333333333333329</v>
      </c>
      <c r="H22" t="str">
        <f t="shared" si="2"/>
        <v>Pass</v>
      </c>
      <c r="I22" s="7"/>
      <c r="L22" s="8" t="s">
        <v>110</v>
      </c>
    </row>
    <row r="23" spans="1:12" x14ac:dyDescent="0.35">
      <c r="A23" t="s">
        <v>28</v>
      </c>
      <c r="B23" t="s">
        <v>75</v>
      </c>
      <c r="C23">
        <v>100</v>
      </c>
      <c r="D23">
        <v>40</v>
      </c>
      <c r="E23">
        <v>54</v>
      </c>
      <c r="F23">
        <f t="shared" si="0"/>
        <v>194</v>
      </c>
      <c r="G23" s="4">
        <f t="shared" si="1"/>
        <v>64.666666666666657</v>
      </c>
      <c r="H23" t="str">
        <f t="shared" si="2"/>
        <v>Pass</v>
      </c>
      <c r="I23" s="6"/>
      <c r="L23" s="5" t="s">
        <v>109</v>
      </c>
    </row>
    <row r="24" spans="1:12" x14ac:dyDescent="0.35">
      <c r="A24" t="s">
        <v>29</v>
      </c>
      <c r="B24" t="s">
        <v>76</v>
      </c>
      <c r="C24">
        <v>90</v>
      </c>
      <c r="D24">
        <v>50</v>
      </c>
      <c r="E24">
        <v>46</v>
      </c>
      <c r="F24">
        <f t="shared" si="0"/>
        <v>186</v>
      </c>
      <c r="G24" s="4">
        <f t="shared" si="1"/>
        <v>62</v>
      </c>
      <c r="H24" t="str">
        <f t="shared" si="2"/>
        <v>Pass</v>
      </c>
      <c r="I24" s="7"/>
    </row>
    <row r="25" spans="1:12" x14ac:dyDescent="0.35">
      <c r="A25" t="s">
        <v>30</v>
      </c>
      <c r="B25" t="s">
        <v>77</v>
      </c>
      <c r="C25">
        <v>80</v>
      </c>
      <c r="D25">
        <v>60</v>
      </c>
      <c r="E25">
        <v>78</v>
      </c>
      <c r="F25">
        <f t="shared" si="0"/>
        <v>218</v>
      </c>
      <c r="G25" s="4">
        <f t="shared" si="1"/>
        <v>72.666666666666671</v>
      </c>
      <c r="H25" t="str">
        <f t="shared" si="2"/>
        <v>Pass</v>
      </c>
      <c r="I25" s="6"/>
    </row>
    <row r="26" spans="1:12" x14ac:dyDescent="0.35">
      <c r="A26" t="s">
        <v>31</v>
      </c>
      <c r="B26" t="s">
        <v>78</v>
      </c>
      <c r="C26">
        <v>20</v>
      </c>
      <c r="D26">
        <v>33</v>
      </c>
      <c r="E26">
        <v>33</v>
      </c>
      <c r="F26">
        <f t="shared" si="0"/>
        <v>86</v>
      </c>
      <c r="G26" s="4">
        <f t="shared" si="1"/>
        <v>28.666666666666668</v>
      </c>
      <c r="H26" t="str">
        <f t="shared" si="2"/>
        <v>Fail</v>
      </c>
      <c r="I26" s="7"/>
    </row>
    <row r="27" spans="1:12" x14ac:dyDescent="0.35">
      <c r="A27" t="s">
        <v>32</v>
      </c>
      <c r="B27" t="s">
        <v>79</v>
      </c>
      <c r="C27">
        <v>60</v>
      </c>
      <c r="D27">
        <v>80</v>
      </c>
      <c r="E27">
        <v>43</v>
      </c>
      <c r="F27">
        <f t="shared" si="0"/>
        <v>183</v>
      </c>
      <c r="G27" s="4">
        <f t="shared" si="1"/>
        <v>61</v>
      </c>
      <c r="H27" t="str">
        <f t="shared" si="2"/>
        <v>Pass</v>
      </c>
      <c r="I27" s="6"/>
    </row>
    <row r="28" spans="1:12" x14ac:dyDescent="0.35">
      <c r="A28" t="s">
        <v>33</v>
      </c>
      <c r="B28" t="s">
        <v>80</v>
      </c>
      <c r="C28">
        <v>50</v>
      </c>
      <c r="D28">
        <v>90</v>
      </c>
      <c r="E28">
        <v>23</v>
      </c>
      <c r="F28">
        <f t="shared" si="0"/>
        <v>163</v>
      </c>
      <c r="G28" s="4">
        <f t="shared" si="1"/>
        <v>54.333333333333336</v>
      </c>
      <c r="H28" t="str">
        <f t="shared" si="2"/>
        <v>Pass</v>
      </c>
      <c r="I28" s="7"/>
    </row>
    <row r="29" spans="1:12" x14ac:dyDescent="0.35">
      <c r="A29" t="s">
        <v>34</v>
      </c>
      <c r="B29" t="s">
        <v>81</v>
      </c>
      <c r="C29">
        <v>40</v>
      </c>
      <c r="D29">
        <v>100</v>
      </c>
      <c r="E29">
        <v>32</v>
      </c>
      <c r="F29">
        <f t="shared" si="0"/>
        <v>172</v>
      </c>
      <c r="G29" s="4">
        <f t="shared" si="1"/>
        <v>57.333333333333336</v>
      </c>
      <c r="H29" t="str">
        <f t="shared" si="2"/>
        <v>Pass</v>
      </c>
      <c r="I29" s="6"/>
    </row>
    <row r="30" spans="1:12" x14ac:dyDescent="0.35">
      <c r="A30" t="s">
        <v>35</v>
      </c>
      <c r="B30" t="s">
        <v>82</v>
      </c>
      <c r="C30">
        <v>40</v>
      </c>
      <c r="D30">
        <v>100</v>
      </c>
      <c r="E30">
        <v>24</v>
      </c>
      <c r="F30">
        <f t="shared" si="0"/>
        <v>164</v>
      </c>
      <c r="G30" s="4">
        <f t="shared" si="1"/>
        <v>54.666666666666664</v>
      </c>
      <c r="H30" t="str">
        <f t="shared" si="2"/>
        <v>Pass</v>
      </c>
      <c r="I30" s="7"/>
    </row>
    <row r="31" spans="1:12" x14ac:dyDescent="0.35">
      <c r="A31" t="s">
        <v>36</v>
      </c>
      <c r="B31" t="s">
        <v>83</v>
      </c>
      <c r="C31">
        <v>50</v>
      </c>
      <c r="D31">
        <v>90</v>
      </c>
      <c r="E31">
        <v>76</v>
      </c>
      <c r="F31">
        <f t="shared" si="0"/>
        <v>216</v>
      </c>
      <c r="G31" s="4">
        <f t="shared" si="1"/>
        <v>72</v>
      </c>
      <c r="H31" t="str">
        <f t="shared" si="2"/>
        <v>Pass</v>
      </c>
      <c r="I31" s="6"/>
    </row>
    <row r="32" spans="1:12" x14ac:dyDescent="0.35">
      <c r="A32" t="s">
        <v>37</v>
      </c>
      <c r="B32" t="s">
        <v>84</v>
      </c>
      <c r="C32">
        <v>50</v>
      </c>
      <c r="D32">
        <v>80</v>
      </c>
      <c r="E32">
        <v>78</v>
      </c>
      <c r="F32">
        <f t="shared" si="0"/>
        <v>208</v>
      </c>
      <c r="G32" s="4">
        <f t="shared" si="1"/>
        <v>69.333333333333343</v>
      </c>
      <c r="H32" t="str">
        <f t="shared" si="2"/>
        <v>Pass</v>
      </c>
      <c r="I32" s="7"/>
    </row>
    <row r="33" spans="1:9" x14ac:dyDescent="0.35">
      <c r="A33" t="s">
        <v>38</v>
      </c>
      <c r="B33" t="s">
        <v>85</v>
      </c>
      <c r="C33">
        <v>60</v>
      </c>
      <c r="D33">
        <v>70</v>
      </c>
      <c r="E33">
        <v>98</v>
      </c>
      <c r="F33">
        <f t="shared" si="0"/>
        <v>228</v>
      </c>
      <c r="G33" s="4">
        <f t="shared" si="1"/>
        <v>76</v>
      </c>
      <c r="H33" t="str">
        <f t="shared" si="2"/>
        <v>Pass</v>
      </c>
      <c r="I33" s="6"/>
    </row>
    <row r="34" spans="1:9" x14ac:dyDescent="0.35">
      <c r="A34" t="s">
        <v>39</v>
      </c>
      <c r="B34" t="s">
        <v>86</v>
      </c>
      <c r="C34">
        <v>70</v>
      </c>
      <c r="D34">
        <v>60</v>
      </c>
      <c r="E34">
        <v>66</v>
      </c>
      <c r="F34">
        <f t="shared" si="0"/>
        <v>196</v>
      </c>
      <c r="G34" s="4">
        <f t="shared" si="1"/>
        <v>65.333333333333329</v>
      </c>
      <c r="H34" t="str">
        <f t="shared" si="2"/>
        <v>Pass</v>
      </c>
      <c r="I34" s="7"/>
    </row>
    <row r="35" spans="1:9" x14ac:dyDescent="0.35">
      <c r="A35" t="s">
        <v>40</v>
      </c>
      <c r="B35" t="s">
        <v>71</v>
      </c>
      <c r="C35">
        <v>80</v>
      </c>
      <c r="D35">
        <v>50</v>
      </c>
      <c r="E35">
        <v>44</v>
      </c>
      <c r="F35">
        <f t="shared" si="0"/>
        <v>174</v>
      </c>
      <c r="G35" s="4">
        <f t="shared" si="1"/>
        <v>57.999999999999993</v>
      </c>
      <c r="H35" t="str">
        <f t="shared" si="2"/>
        <v>Pass</v>
      </c>
      <c r="I35" s="6"/>
    </row>
    <row r="36" spans="1:9" x14ac:dyDescent="0.35">
      <c r="A36" t="s">
        <v>41</v>
      </c>
      <c r="B36" t="s">
        <v>87</v>
      </c>
      <c r="C36">
        <v>90</v>
      </c>
      <c r="D36">
        <v>40</v>
      </c>
      <c r="E36">
        <v>67</v>
      </c>
      <c r="F36">
        <f t="shared" si="0"/>
        <v>197</v>
      </c>
      <c r="G36" s="4">
        <f t="shared" si="1"/>
        <v>65.666666666666657</v>
      </c>
      <c r="H36" t="str">
        <f t="shared" si="2"/>
        <v>Pass</v>
      </c>
      <c r="I36" s="7"/>
    </row>
    <row r="37" spans="1:9" x14ac:dyDescent="0.35">
      <c r="A37" t="s">
        <v>42</v>
      </c>
      <c r="B37" t="s">
        <v>88</v>
      </c>
      <c r="C37">
        <v>100</v>
      </c>
      <c r="D37">
        <v>30</v>
      </c>
      <c r="E37">
        <v>88</v>
      </c>
      <c r="F37">
        <f t="shared" si="0"/>
        <v>218</v>
      </c>
      <c r="G37" s="4">
        <f t="shared" si="1"/>
        <v>72.666666666666671</v>
      </c>
      <c r="H37" t="str">
        <f t="shared" si="2"/>
        <v>Pass</v>
      </c>
      <c r="I37" s="6"/>
    </row>
    <row r="38" spans="1:9" x14ac:dyDescent="0.35">
      <c r="A38" t="s">
        <v>43</v>
      </c>
      <c r="B38" t="s">
        <v>89</v>
      </c>
      <c r="C38">
        <v>90</v>
      </c>
      <c r="D38">
        <v>20</v>
      </c>
      <c r="E38">
        <v>56</v>
      </c>
      <c r="F38">
        <f t="shared" si="0"/>
        <v>166</v>
      </c>
      <c r="G38" s="4">
        <f t="shared" si="1"/>
        <v>55.333333333333336</v>
      </c>
      <c r="H38" t="str">
        <f t="shared" si="2"/>
        <v>Pass</v>
      </c>
      <c r="I38" s="7"/>
    </row>
    <row r="39" spans="1:9" x14ac:dyDescent="0.35">
      <c r="A39" t="s">
        <v>44</v>
      </c>
      <c r="B39" t="s">
        <v>90</v>
      </c>
      <c r="C39">
        <v>80</v>
      </c>
      <c r="D39">
        <v>20</v>
      </c>
      <c r="E39">
        <v>54</v>
      </c>
      <c r="F39">
        <f t="shared" si="0"/>
        <v>154</v>
      </c>
      <c r="G39" s="4">
        <f t="shared" si="1"/>
        <v>51.333333333333329</v>
      </c>
      <c r="H39" t="str">
        <f t="shared" si="2"/>
        <v>Pass</v>
      </c>
      <c r="I39" s="6"/>
    </row>
    <row r="40" spans="1:9" x14ac:dyDescent="0.35">
      <c r="A40" t="s">
        <v>45</v>
      </c>
      <c r="B40" t="s">
        <v>101</v>
      </c>
      <c r="C40">
        <v>70</v>
      </c>
      <c r="D40">
        <v>30</v>
      </c>
      <c r="E40">
        <v>36</v>
      </c>
      <c r="F40">
        <f t="shared" si="0"/>
        <v>136</v>
      </c>
      <c r="G40" s="4">
        <f t="shared" si="1"/>
        <v>45.333333333333329</v>
      </c>
      <c r="H40" t="str">
        <f t="shared" si="2"/>
        <v>Pass</v>
      </c>
      <c r="I40" s="7"/>
    </row>
    <row r="41" spans="1:9" x14ac:dyDescent="0.35">
      <c r="A41" t="s">
        <v>46</v>
      </c>
      <c r="B41" t="s">
        <v>91</v>
      </c>
      <c r="C41">
        <v>60</v>
      </c>
      <c r="D41">
        <v>40</v>
      </c>
      <c r="E41">
        <v>99</v>
      </c>
      <c r="F41">
        <f t="shared" si="0"/>
        <v>199</v>
      </c>
      <c r="G41" s="4">
        <f t="shared" si="1"/>
        <v>66.333333333333329</v>
      </c>
      <c r="H41" t="str">
        <f t="shared" si="2"/>
        <v>Pass</v>
      </c>
      <c r="I41" s="6"/>
    </row>
    <row r="42" spans="1:9" x14ac:dyDescent="0.35">
      <c r="A42" t="s">
        <v>47</v>
      </c>
      <c r="B42" t="s">
        <v>92</v>
      </c>
      <c r="C42">
        <v>50</v>
      </c>
      <c r="D42">
        <v>50</v>
      </c>
      <c r="E42">
        <v>76</v>
      </c>
      <c r="F42">
        <f t="shared" si="0"/>
        <v>176</v>
      </c>
      <c r="G42" s="4">
        <f t="shared" si="1"/>
        <v>58.666666666666664</v>
      </c>
      <c r="H42" t="str">
        <f t="shared" si="2"/>
        <v>Pass</v>
      </c>
      <c r="I42" s="7"/>
    </row>
    <row r="43" spans="1:9" x14ac:dyDescent="0.35">
      <c r="A43" t="s">
        <v>48</v>
      </c>
      <c r="B43" t="s">
        <v>93</v>
      </c>
      <c r="C43">
        <v>40</v>
      </c>
      <c r="D43">
        <v>60</v>
      </c>
      <c r="E43">
        <v>55</v>
      </c>
      <c r="F43">
        <f t="shared" si="0"/>
        <v>155</v>
      </c>
      <c r="G43" s="4">
        <f t="shared" si="1"/>
        <v>51.666666666666671</v>
      </c>
      <c r="H43" t="str">
        <f t="shared" si="2"/>
        <v>Pass</v>
      </c>
      <c r="I43" s="6"/>
    </row>
    <row r="44" spans="1:9" x14ac:dyDescent="0.35">
      <c r="A44" t="s">
        <v>49</v>
      </c>
      <c r="B44" t="s">
        <v>94</v>
      </c>
      <c r="C44">
        <v>40</v>
      </c>
      <c r="D44">
        <v>70</v>
      </c>
      <c r="E44">
        <v>43</v>
      </c>
      <c r="F44">
        <f t="shared" si="0"/>
        <v>153</v>
      </c>
      <c r="G44" s="4">
        <f t="shared" si="1"/>
        <v>51</v>
      </c>
      <c r="H44" t="str">
        <f t="shared" si="2"/>
        <v>Pass</v>
      </c>
      <c r="I44" s="7"/>
    </row>
    <row r="45" spans="1:9" x14ac:dyDescent="0.35">
      <c r="A45" t="s">
        <v>50</v>
      </c>
      <c r="B45" t="s">
        <v>95</v>
      </c>
      <c r="C45">
        <v>50</v>
      </c>
      <c r="D45">
        <v>80</v>
      </c>
      <c r="E45">
        <v>43</v>
      </c>
      <c r="F45">
        <f t="shared" si="0"/>
        <v>173</v>
      </c>
      <c r="G45" s="4">
        <f t="shared" si="1"/>
        <v>57.666666666666664</v>
      </c>
      <c r="H45" t="str">
        <f t="shared" si="2"/>
        <v>Pass</v>
      </c>
      <c r="I45" s="6"/>
    </row>
    <row r="46" spans="1:9" x14ac:dyDescent="0.35">
      <c r="A46" t="s">
        <v>51</v>
      </c>
      <c r="B46" t="s">
        <v>96</v>
      </c>
      <c r="C46">
        <v>60</v>
      </c>
      <c r="D46">
        <v>90</v>
      </c>
      <c r="E46">
        <v>35</v>
      </c>
      <c r="F46">
        <f t="shared" si="0"/>
        <v>185</v>
      </c>
      <c r="G46" s="4">
        <f t="shared" si="1"/>
        <v>61.666666666666671</v>
      </c>
      <c r="H46" t="str">
        <f>IF(G46&gt;33,"Pass","Fail")</f>
        <v>Pass</v>
      </c>
      <c r="I46" s="7"/>
    </row>
    <row r="47" spans="1:9" x14ac:dyDescent="0.35">
      <c r="A47" t="s">
        <v>52</v>
      </c>
      <c r="B47" t="s">
        <v>97</v>
      </c>
      <c r="C47">
        <v>70</v>
      </c>
      <c r="D47">
        <v>100</v>
      </c>
      <c r="E47">
        <v>87</v>
      </c>
      <c r="F47">
        <f t="shared" si="0"/>
        <v>257</v>
      </c>
      <c r="G47" s="4">
        <f t="shared" si="1"/>
        <v>85.666666666666671</v>
      </c>
      <c r="H47" t="str">
        <f t="shared" si="2"/>
        <v>Pass</v>
      </c>
      <c r="I47" s="6"/>
    </row>
    <row r="48" spans="1:9" x14ac:dyDescent="0.35">
      <c r="A48" t="s">
        <v>53</v>
      </c>
      <c r="B48" t="s">
        <v>100</v>
      </c>
      <c r="C48">
        <v>80</v>
      </c>
      <c r="D48">
        <v>100</v>
      </c>
      <c r="E48">
        <v>54</v>
      </c>
      <c r="F48">
        <f t="shared" si="0"/>
        <v>234</v>
      </c>
      <c r="G48" s="4">
        <f t="shared" si="1"/>
        <v>78</v>
      </c>
      <c r="H48" t="str">
        <f t="shared" si="2"/>
        <v>Pass</v>
      </c>
      <c r="I48" s="7"/>
    </row>
    <row r="49" spans="1:9" x14ac:dyDescent="0.35">
      <c r="A49" t="s">
        <v>54</v>
      </c>
      <c r="B49" t="s">
        <v>99</v>
      </c>
      <c r="C49">
        <v>90</v>
      </c>
      <c r="D49">
        <v>90</v>
      </c>
      <c r="E49">
        <v>34</v>
      </c>
      <c r="F49">
        <f t="shared" si="0"/>
        <v>214</v>
      </c>
      <c r="G49" s="4">
        <f t="shared" si="1"/>
        <v>71.333333333333343</v>
      </c>
      <c r="H49" t="str">
        <f t="shared" si="2"/>
        <v>Pass</v>
      </c>
      <c r="I49" s="6"/>
    </row>
    <row r="50" spans="1:9" x14ac:dyDescent="0.35">
      <c r="A50" t="s">
        <v>55</v>
      </c>
      <c r="B50" t="s">
        <v>98</v>
      </c>
      <c r="C50">
        <v>100</v>
      </c>
      <c r="D50">
        <v>80</v>
      </c>
      <c r="E50">
        <v>98</v>
      </c>
      <c r="F50">
        <f t="shared" si="0"/>
        <v>278</v>
      </c>
      <c r="G50" s="4">
        <f t="shared" si="1"/>
        <v>92.666666666666657</v>
      </c>
      <c r="H50" t="str">
        <f t="shared" si="2"/>
        <v>Pass</v>
      </c>
      <c r="I50" s="7"/>
    </row>
    <row r="51" spans="1:9" x14ac:dyDescent="0.35">
      <c r="A51" s="3" t="s">
        <v>103</v>
      </c>
      <c r="B51" s="3" t="s">
        <v>102</v>
      </c>
      <c r="C51" s="3">
        <v>100</v>
      </c>
      <c r="D51" s="3">
        <v>100</v>
      </c>
      <c r="E51" s="3">
        <v>100</v>
      </c>
      <c r="F51" s="3">
        <f t="shared" si="0"/>
        <v>300</v>
      </c>
      <c r="I51" s="6"/>
    </row>
    <row r="52" spans="1:9" x14ac:dyDescent="0.35">
      <c r="I52" s="7"/>
    </row>
    <row r="53" spans="1:9" x14ac:dyDescent="0.35">
      <c r="I53" s="6"/>
    </row>
    <row r="54" spans="1:9" x14ac:dyDescent="0.35">
      <c r="I54" s="7"/>
    </row>
    <row r="55" spans="1:9" x14ac:dyDescent="0.35">
      <c r="I55" s="6"/>
    </row>
    <row r="56" spans="1:9" x14ac:dyDescent="0.35">
      <c r="I56" s="7"/>
    </row>
    <row r="57" spans="1:9" x14ac:dyDescent="0.35">
      <c r="I57" s="6"/>
    </row>
    <row r="58" spans="1:9" x14ac:dyDescent="0.35">
      <c r="I58" s="7"/>
    </row>
    <row r="59" spans="1:9" x14ac:dyDescent="0.35">
      <c r="I59" s="6"/>
    </row>
    <row r="60" spans="1:9" x14ac:dyDescent="0.35">
      <c r="I60" s="7"/>
    </row>
    <row r="61" spans="1:9" x14ac:dyDescent="0.35">
      <c r="I61" s="6"/>
    </row>
    <row r="62" spans="1:9" x14ac:dyDescent="0.35">
      <c r="I62" s="7"/>
    </row>
    <row r="63" spans="1:9" x14ac:dyDescent="0.35">
      <c r="I63" s="6"/>
    </row>
    <row r="64" spans="1:9" x14ac:dyDescent="0.35">
      <c r="I64" s="7"/>
    </row>
    <row r="65" spans="9:9" x14ac:dyDescent="0.35">
      <c r="I65" s="6"/>
    </row>
    <row r="66" spans="9:9" x14ac:dyDescent="0.35">
      <c r="I66" s="7"/>
    </row>
    <row r="67" spans="9:9" x14ac:dyDescent="0.35">
      <c r="I67" s="6"/>
    </row>
    <row r="68" spans="9:9" x14ac:dyDescent="0.35">
      <c r="I68" s="7"/>
    </row>
    <row r="69" spans="9:9" x14ac:dyDescent="0.35">
      <c r="I69" s="6"/>
    </row>
    <row r="70" spans="9:9" x14ac:dyDescent="0.35">
      <c r="I70" s="7"/>
    </row>
    <row r="71" spans="9:9" x14ac:dyDescent="0.35">
      <c r="I71" s="6"/>
    </row>
    <row r="72" spans="9:9" x14ac:dyDescent="0.35">
      <c r="I72" s="7"/>
    </row>
    <row r="73" spans="9:9" x14ac:dyDescent="0.35">
      <c r="I73" s="6"/>
    </row>
    <row r="74" spans="9:9" x14ac:dyDescent="0.35">
      <c r="I74" s="7"/>
    </row>
    <row r="75" spans="9:9" x14ac:dyDescent="0.35">
      <c r="I75" s="6"/>
    </row>
    <row r="76" spans="9:9" x14ac:dyDescent="0.35">
      <c r="I76" s="7"/>
    </row>
    <row r="77" spans="9:9" x14ac:dyDescent="0.35">
      <c r="I77" s="6"/>
    </row>
    <row r="78" spans="9:9" x14ac:dyDescent="0.35">
      <c r="I78" s="7"/>
    </row>
    <row r="79" spans="9:9" x14ac:dyDescent="0.35">
      <c r="I79" s="6"/>
    </row>
    <row r="80" spans="9:9" x14ac:dyDescent="0.35">
      <c r="I80" s="7"/>
    </row>
    <row r="81" spans="9:9" x14ac:dyDescent="0.35">
      <c r="I81" s="6"/>
    </row>
    <row r="82" spans="9:9" x14ac:dyDescent="0.35">
      <c r="I82" s="7"/>
    </row>
    <row r="83" spans="9:9" x14ac:dyDescent="0.35">
      <c r="I83" s="6"/>
    </row>
    <row r="84" spans="9:9" x14ac:dyDescent="0.35">
      <c r="I84" s="7"/>
    </row>
    <row r="85" spans="9:9" x14ac:dyDescent="0.35">
      <c r="I85" s="6"/>
    </row>
    <row r="86" spans="9:9" x14ac:dyDescent="0.35">
      <c r="I86" s="7"/>
    </row>
    <row r="87" spans="9:9" x14ac:dyDescent="0.35">
      <c r="I87" s="6"/>
    </row>
    <row r="88" spans="9:9" x14ac:dyDescent="0.35">
      <c r="I88" s="7"/>
    </row>
    <row r="89" spans="9:9" x14ac:dyDescent="0.35">
      <c r="I89" s="6"/>
    </row>
    <row r="90" spans="9:9" x14ac:dyDescent="0.35">
      <c r="I90" s="7"/>
    </row>
    <row r="91" spans="9:9" x14ac:dyDescent="0.35">
      <c r="I91" s="6"/>
    </row>
    <row r="92" spans="9:9" x14ac:dyDescent="0.35">
      <c r="I92" s="7"/>
    </row>
    <row r="93" spans="9:9" x14ac:dyDescent="0.35">
      <c r="I93" s="6"/>
    </row>
    <row r="94" spans="9:9" x14ac:dyDescent="0.35">
      <c r="I94" s="7"/>
    </row>
    <row r="95" spans="9:9" x14ac:dyDescent="0.35">
      <c r="I95" s="6"/>
    </row>
    <row r="96" spans="9:9" x14ac:dyDescent="0.35">
      <c r="I96" s="7"/>
    </row>
    <row r="97" spans="9:9" x14ac:dyDescent="0.35">
      <c r="I97" s="6"/>
    </row>
    <row r="98" spans="9:9" x14ac:dyDescent="0.35">
      <c r="I98" s="7"/>
    </row>
    <row r="99" spans="9:9" x14ac:dyDescent="0.35">
      <c r="I99" s="6"/>
    </row>
    <row r="100" spans="9:9" x14ac:dyDescent="0.35">
      <c r="I100" s="7"/>
    </row>
    <row r="101" spans="9:9" x14ac:dyDescent="0.35">
      <c r="I101" s="6"/>
    </row>
    <row r="102" spans="9:9" x14ac:dyDescent="0.35">
      <c r="I102" s="7"/>
    </row>
    <row r="103" spans="9:9" x14ac:dyDescent="0.35">
      <c r="I103" s="5"/>
    </row>
    <row r="104" spans="9:9" x14ac:dyDescent="0.35">
      <c r="I104" s="6"/>
    </row>
    <row r="105" spans="9:9" x14ac:dyDescent="0.35">
      <c r="I105" s="7"/>
    </row>
    <row r="106" spans="9:9" x14ac:dyDescent="0.35">
      <c r="I106" s="5"/>
    </row>
  </sheetData>
  <autoFilter ref="A3:H51"/>
  <conditionalFormatting sqref="H3">
    <cfRule type="colorScale" priority="5">
      <colorScale>
        <cfvo type="min"/>
        <cfvo type="max"/>
        <color rgb="FFFF7128"/>
        <color rgb="FFFFEF9C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ellIs" priority="7" operator="between">
      <formula>33</formula>
      <formula>100</formula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{9EB6CDF5-9605-47E5-B436-89B044A71E78}</x14:id>
        </ext>
      </extLst>
    </cfRule>
    <cfRule type="colorScale" priority="9">
      <colorScale>
        <cfvo type="min"/>
        <cfvo type="max"/>
        <color theme="5" tint="-0.249977111117893"/>
        <color rgb="FF92D050"/>
      </colorScale>
    </cfRule>
  </conditionalFormatting>
  <conditionalFormatting sqref="H4">
    <cfRule type="colorScale" priority="4">
      <colorScale>
        <cfvo type="num" val="33"/>
        <cfvo type="num" val="100"/>
        <color rgb="FFFF7128"/>
        <color rgb="FFFFEF9C"/>
      </colorScale>
    </cfRule>
  </conditionalFormatting>
  <conditionalFormatting sqref="H47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H4:H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13">
    <cfRule type="cellIs" priority="1" operator="between">
      <formula>33</formula>
      <formula>100</formula>
    </cfRule>
  </conditionalFormatting>
  <pageMargins left="0.7" right="0.7" top="0.75" bottom="0.75" header="0.3" footer="0.3"/>
  <pageSetup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B6CDF5-9605-47E5-B436-89B044A71E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opLeftCell="A3" workbookViewId="0">
      <selection activeCell="H12" sqref="H12"/>
    </sheetView>
  </sheetViews>
  <sheetFormatPr defaultRowHeight="14.5" x14ac:dyDescent="0.35"/>
  <cols>
    <col min="2" max="2" width="16.36328125" customWidth="1"/>
    <col min="3" max="3" width="34.36328125" customWidth="1"/>
    <col min="4" max="4" width="16" bestFit="1" customWidth="1"/>
    <col min="5" max="5" width="10.26953125" bestFit="1" customWidth="1"/>
    <col min="7" max="7" width="9.90625" bestFit="1" customWidth="1"/>
    <col min="8" max="8" width="14.36328125" bestFit="1" customWidth="1"/>
  </cols>
  <sheetData>
    <row r="1" spans="1:8" x14ac:dyDescent="0.35">
      <c r="A1" t="s">
        <v>111</v>
      </c>
    </row>
    <row r="3" spans="1:8" x14ac:dyDescent="0.35">
      <c r="A3" s="13" t="s">
        <v>112</v>
      </c>
      <c r="B3" s="14" t="s">
        <v>113</v>
      </c>
      <c r="C3" s="14" t="s">
        <v>114</v>
      </c>
      <c r="D3" s="14" t="s">
        <v>115</v>
      </c>
      <c r="E3" s="14" t="s">
        <v>116</v>
      </c>
      <c r="G3" s="14" t="s">
        <v>174</v>
      </c>
    </row>
    <row r="4" spans="1:8" x14ac:dyDescent="0.35">
      <c r="A4" s="15">
        <v>101</v>
      </c>
      <c r="B4" s="16" t="s">
        <v>117</v>
      </c>
      <c r="C4" s="17" t="s">
        <v>118</v>
      </c>
      <c r="D4" s="16" t="s">
        <v>119</v>
      </c>
      <c r="E4" s="18">
        <v>4000</v>
      </c>
    </row>
    <row r="5" spans="1:8" x14ac:dyDescent="0.35">
      <c r="A5" s="15">
        <v>102</v>
      </c>
      <c r="B5" s="16" t="s">
        <v>120</v>
      </c>
      <c r="C5" s="17" t="s">
        <v>121</v>
      </c>
      <c r="D5" s="16" t="s">
        <v>122</v>
      </c>
      <c r="E5" s="18">
        <v>5400</v>
      </c>
      <c r="G5" s="19" t="s">
        <v>175</v>
      </c>
      <c r="H5">
        <v>101</v>
      </c>
    </row>
    <row r="6" spans="1:8" x14ac:dyDescent="0.35">
      <c r="A6" s="15">
        <v>103</v>
      </c>
      <c r="B6" s="16" t="s">
        <v>123</v>
      </c>
      <c r="C6" s="17" t="s">
        <v>124</v>
      </c>
      <c r="D6" s="16" t="s">
        <v>122</v>
      </c>
      <c r="E6" s="18">
        <v>3000</v>
      </c>
      <c r="G6" s="19" t="s">
        <v>113</v>
      </c>
      <c r="H6" s="21" t="str">
        <f>IFERROR(VLOOKUP(H5,employee,2,0),"NotFound")</f>
        <v>Rocco Anderson</v>
      </c>
    </row>
    <row r="7" spans="1:8" x14ac:dyDescent="0.35">
      <c r="A7" s="15">
        <v>104</v>
      </c>
      <c r="B7" s="16" t="s">
        <v>125</v>
      </c>
      <c r="C7" s="17" t="s">
        <v>126</v>
      </c>
      <c r="D7" s="16" t="s">
        <v>127</v>
      </c>
      <c r="E7" s="18">
        <v>8000</v>
      </c>
    </row>
    <row r="8" spans="1:8" x14ac:dyDescent="0.35">
      <c r="A8" s="15">
        <v>105</v>
      </c>
      <c r="B8" s="16" t="s">
        <v>128</v>
      </c>
      <c r="C8" s="17" t="s">
        <v>129</v>
      </c>
      <c r="D8" s="16" t="s">
        <v>130</v>
      </c>
      <c r="E8" s="18">
        <v>2000</v>
      </c>
      <c r="G8" s="19" t="s">
        <v>113</v>
      </c>
      <c r="H8" t="str">
        <f>H6</f>
        <v>Rocco Anderson</v>
      </c>
    </row>
    <row r="9" spans="1:8" x14ac:dyDescent="0.35">
      <c r="A9" s="15">
        <v>106</v>
      </c>
      <c r="B9" s="16" t="s">
        <v>131</v>
      </c>
      <c r="C9" s="17" t="s">
        <v>132</v>
      </c>
      <c r="D9" s="16" t="s">
        <v>133</v>
      </c>
      <c r="E9" s="18">
        <v>5000</v>
      </c>
      <c r="G9" s="19" t="s">
        <v>176</v>
      </c>
      <c r="H9" s="22" t="str">
        <f>IFERROR(VLOOKUP(H8,employee1,3,1),"NotFound")</f>
        <v>Business Broker</v>
      </c>
    </row>
    <row r="10" spans="1:8" x14ac:dyDescent="0.35">
      <c r="A10" s="15">
        <v>107</v>
      </c>
      <c r="B10" s="16" t="s">
        <v>134</v>
      </c>
      <c r="C10" s="17" t="s">
        <v>135</v>
      </c>
      <c r="D10" s="16" t="s">
        <v>136</v>
      </c>
      <c r="E10" s="18">
        <v>4200</v>
      </c>
    </row>
    <row r="11" spans="1:8" x14ac:dyDescent="0.35">
      <c r="A11" s="15">
        <v>108</v>
      </c>
      <c r="B11" s="16" t="s">
        <v>137</v>
      </c>
      <c r="C11" s="17" t="s">
        <v>138</v>
      </c>
      <c r="D11" s="16" t="s">
        <v>139</v>
      </c>
      <c r="E11" s="18">
        <v>6000</v>
      </c>
    </row>
    <row r="12" spans="1:8" x14ac:dyDescent="0.35">
      <c r="A12" s="15">
        <v>109</v>
      </c>
      <c r="B12" s="16" t="s">
        <v>140</v>
      </c>
      <c r="C12" s="17" t="s">
        <v>141</v>
      </c>
      <c r="D12" s="16" t="s">
        <v>142</v>
      </c>
      <c r="E12" s="18">
        <v>10000</v>
      </c>
    </row>
    <row r="13" spans="1:8" x14ac:dyDescent="0.35">
      <c r="A13" s="15">
        <v>110</v>
      </c>
      <c r="B13" s="16" t="s">
        <v>143</v>
      </c>
      <c r="C13" s="17" t="s">
        <v>144</v>
      </c>
      <c r="D13" s="16" t="s">
        <v>145</v>
      </c>
      <c r="E13" s="18">
        <v>7000</v>
      </c>
    </row>
    <row r="14" spans="1:8" x14ac:dyDescent="0.35">
      <c r="A14" s="15">
        <v>111</v>
      </c>
      <c r="B14" s="16" t="s">
        <v>146</v>
      </c>
      <c r="C14" s="17" t="s">
        <v>147</v>
      </c>
      <c r="D14" s="16" t="s">
        <v>148</v>
      </c>
      <c r="E14" s="18">
        <v>6700</v>
      </c>
    </row>
    <row r="15" spans="1:8" x14ac:dyDescent="0.35">
      <c r="A15" s="15">
        <v>112</v>
      </c>
      <c r="B15" s="16" t="s">
        <v>149</v>
      </c>
      <c r="C15" s="17" t="s">
        <v>150</v>
      </c>
      <c r="D15" s="16" t="s">
        <v>151</v>
      </c>
      <c r="E15" s="18">
        <v>12000</v>
      </c>
    </row>
    <row r="16" spans="1:8" x14ac:dyDescent="0.35">
      <c r="A16" s="15">
        <v>113</v>
      </c>
      <c r="B16" s="16" t="s">
        <v>152</v>
      </c>
      <c r="C16" s="17" t="s">
        <v>153</v>
      </c>
      <c r="D16" s="16" t="s">
        <v>154</v>
      </c>
      <c r="E16" s="18">
        <v>2300</v>
      </c>
    </row>
    <row r="17" spans="1:5" x14ac:dyDescent="0.35">
      <c r="A17" s="15">
        <v>114</v>
      </c>
      <c r="B17" s="16" t="s">
        <v>155</v>
      </c>
      <c r="C17" s="17" t="s">
        <v>156</v>
      </c>
      <c r="D17" s="16" t="s">
        <v>157</v>
      </c>
      <c r="E17" s="18">
        <v>5600</v>
      </c>
    </row>
    <row r="18" spans="1:5" x14ac:dyDescent="0.35">
      <c r="A18" s="15">
        <v>115</v>
      </c>
      <c r="B18" s="16" t="s">
        <v>158</v>
      </c>
      <c r="C18" s="17" t="s">
        <v>159</v>
      </c>
      <c r="D18" s="16" t="s">
        <v>160</v>
      </c>
      <c r="E18" s="18">
        <v>4200</v>
      </c>
    </row>
    <row r="19" spans="1:5" x14ac:dyDescent="0.35">
      <c r="A19" s="15">
        <v>116</v>
      </c>
      <c r="B19" s="16" t="s">
        <v>161</v>
      </c>
      <c r="C19" s="17" t="s">
        <v>162</v>
      </c>
      <c r="D19" s="16" t="s">
        <v>136</v>
      </c>
      <c r="E19" s="18">
        <v>3200</v>
      </c>
    </row>
    <row r="20" spans="1:5" x14ac:dyDescent="0.35">
      <c r="A20" s="15">
        <v>117</v>
      </c>
      <c r="B20" s="16" t="s">
        <v>163</v>
      </c>
      <c r="C20" s="17" t="s">
        <v>164</v>
      </c>
      <c r="D20" s="16" t="s">
        <v>165</v>
      </c>
      <c r="E20" s="18">
        <v>9000</v>
      </c>
    </row>
    <row r="21" spans="1:5" x14ac:dyDescent="0.35">
      <c r="A21" s="15">
        <v>118</v>
      </c>
      <c r="B21" s="16" t="s">
        <v>166</v>
      </c>
      <c r="C21" s="17" t="s">
        <v>167</v>
      </c>
      <c r="D21" s="16" t="s">
        <v>168</v>
      </c>
      <c r="E21" s="18">
        <v>5300</v>
      </c>
    </row>
    <row r="22" spans="1:5" x14ac:dyDescent="0.35">
      <c r="A22" s="15">
        <v>119</v>
      </c>
      <c r="B22" s="16" t="s">
        <v>169</v>
      </c>
      <c r="C22" s="17" t="s">
        <v>170</v>
      </c>
      <c r="D22" s="16" t="s">
        <v>171</v>
      </c>
      <c r="E22" s="18">
        <v>6400</v>
      </c>
    </row>
    <row r="23" spans="1:5" x14ac:dyDescent="0.35">
      <c r="A23" s="15">
        <v>120</v>
      </c>
      <c r="B23" s="16" t="s">
        <v>172</v>
      </c>
      <c r="C23" s="17" t="s">
        <v>173</v>
      </c>
      <c r="D23" s="16" t="s">
        <v>127</v>
      </c>
      <c r="E23" s="18">
        <v>8000</v>
      </c>
    </row>
  </sheetData>
  <hyperlinks>
    <hyperlink ref="C4" r:id="rId1" display="mailto:Rocco_Anderson5427@acrit.org"/>
    <hyperlink ref="C5" r:id="rId2" display="mailto:Hank_Saunders8364@extex.org"/>
    <hyperlink ref="C6" r:id="rId3" display="mailto:Eden_Connell4891@irrespy.com"/>
    <hyperlink ref="C7" r:id="rId4" display="mailto:Owen_Lindop4826@womeona.net"/>
    <hyperlink ref="C8" r:id="rId5" display="mailto:Barney_Cavanagh8048@extex.org"/>
    <hyperlink ref="C9" r:id="rId6" display="mailto:Mason_Randall7355@sheye.org"/>
    <hyperlink ref="C10" r:id="rId7" display="mailto:Penelope_Burge3295@cispeto.com"/>
    <hyperlink ref="C11" r:id="rId8" display="mailto:Fred_Stone667@cispeto.com"/>
    <hyperlink ref="C12" r:id="rId9" display="mailto:Javier_Power8197@infotech44.tech"/>
    <hyperlink ref="C13" r:id="rId10" display="mailto:Joyce_London9945@bulaffy.com"/>
    <hyperlink ref="C14" r:id="rId11" display="mailto:Eduardo_Dale6990@sheye.org"/>
    <hyperlink ref="C15" r:id="rId12" display="mailto:Wade_Hepburn96@gmail.com"/>
    <hyperlink ref="C16" r:id="rId13" display="mailto:Barney_Selby4788@irrespy.com"/>
    <hyperlink ref="C17" r:id="rId14" display="mailto:Peter_Daniells7930@guentu.biz"/>
    <hyperlink ref="C18" r:id="rId15" display="mailto:Percy_Denton5997@bretoux.com"/>
    <hyperlink ref="C19" r:id="rId16" display="mailto:Ronald_Rycroft7391@fuliss.net"/>
    <hyperlink ref="C20" r:id="rId17" display="mailto:Noah_Kidd6142@gompie.com"/>
    <hyperlink ref="C21" r:id="rId18" display="mailto:Mark_Freeburn4410@brety.org"/>
    <hyperlink ref="C22" r:id="rId19" display="mailto:Melanie_Cartwright8871@irrespy.com"/>
    <hyperlink ref="C23" r:id="rId20" display="mailto:Harvey_Andrews619@mafthy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zoomScale="72" workbookViewId="0">
      <selection activeCell="D16" sqref="D16"/>
    </sheetView>
  </sheetViews>
  <sheetFormatPr defaultRowHeight="14.5" x14ac:dyDescent="0.35"/>
  <cols>
    <col min="1" max="1" width="17.54296875" bestFit="1" customWidth="1"/>
    <col min="2" max="2" width="27.7265625" bestFit="1" customWidth="1"/>
    <col min="3" max="3" width="28.26953125" bestFit="1" customWidth="1"/>
    <col min="4" max="4" width="30.26953125" bestFit="1" customWidth="1"/>
    <col min="5" max="5" width="29.7265625" bestFit="1" customWidth="1"/>
    <col min="6" max="6" width="27.36328125" customWidth="1"/>
    <col min="7" max="7" width="28" bestFit="1" customWidth="1"/>
  </cols>
  <sheetData>
    <row r="1" spans="1:7" x14ac:dyDescent="0.35">
      <c r="A1" s="24" t="s">
        <v>179</v>
      </c>
      <c r="B1">
        <v>101</v>
      </c>
      <c r="C1">
        <v>102</v>
      </c>
      <c r="D1">
        <v>103</v>
      </c>
      <c r="E1">
        <v>104</v>
      </c>
      <c r="F1">
        <v>105</v>
      </c>
      <c r="G1">
        <v>106</v>
      </c>
    </row>
    <row r="2" spans="1:7" x14ac:dyDescent="0.35">
      <c r="A2" s="25" t="s">
        <v>113</v>
      </c>
      <c r="B2" t="s">
        <v>117</v>
      </c>
      <c r="C2" t="s">
        <v>180</v>
      </c>
      <c r="D2" t="s">
        <v>181</v>
      </c>
      <c r="E2" t="s">
        <v>182</v>
      </c>
      <c r="F2" t="s">
        <v>128</v>
      </c>
      <c r="G2" t="s">
        <v>131</v>
      </c>
    </row>
    <row r="3" spans="1:7" x14ac:dyDescent="0.35">
      <c r="A3" s="24" t="s">
        <v>178</v>
      </c>
      <c r="B3" t="s">
        <v>118</v>
      </c>
      <c r="C3" t="s">
        <v>121</v>
      </c>
      <c r="D3" t="s">
        <v>124</v>
      </c>
      <c r="E3" t="s">
        <v>126</v>
      </c>
      <c r="F3" t="s">
        <v>129</v>
      </c>
      <c r="G3" t="s">
        <v>132</v>
      </c>
    </row>
    <row r="4" spans="1:7" x14ac:dyDescent="0.35">
      <c r="A4" s="24" t="s">
        <v>183</v>
      </c>
      <c r="B4" t="s">
        <v>184</v>
      </c>
      <c r="C4" t="s">
        <v>185</v>
      </c>
      <c r="D4" t="s">
        <v>186</v>
      </c>
      <c r="E4" t="s">
        <v>187</v>
      </c>
      <c r="F4" t="s">
        <v>188</v>
      </c>
      <c r="G4" t="s">
        <v>189</v>
      </c>
    </row>
    <row r="5" spans="1:7" x14ac:dyDescent="0.35">
      <c r="A5" s="24" t="s">
        <v>116</v>
      </c>
      <c r="B5">
        <v>4000</v>
      </c>
      <c r="C5">
        <v>5400</v>
      </c>
      <c r="D5">
        <v>3000</v>
      </c>
      <c r="E5">
        <v>8000</v>
      </c>
      <c r="F5">
        <v>2000</v>
      </c>
      <c r="G5">
        <v>5000</v>
      </c>
    </row>
    <row r="6" spans="1:7" x14ac:dyDescent="0.35">
      <c r="A6" s="23"/>
    </row>
    <row r="7" spans="1:7" x14ac:dyDescent="0.35">
      <c r="A7" s="23"/>
    </row>
    <row r="15" spans="1:7" x14ac:dyDescent="0.35">
      <c r="B15" s="24" t="s">
        <v>179</v>
      </c>
      <c r="C15">
        <v>101</v>
      </c>
    </row>
    <row r="16" spans="1:7" x14ac:dyDescent="0.35">
      <c r="B16" s="25" t="s">
        <v>113</v>
      </c>
      <c r="C16" s="20" t="str">
        <f>HLOOKUP(C15,test,2,0)</f>
        <v>Rocco Anderson</v>
      </c>
    </row>
  </sheetData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Sheet1</vt:lpstr>
      <vt:lpstr>Employee Data Table</vt:lpstr>
      <vt:lpstr>HLOOKUP PRACTICE</vt:lpstr>
      <vt:lpstr>emp</vt:lpstr>
      <vt:lpstr>employee</vt:lpstr>
      <vt:lpstr>employee1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2025-12-21T12:01:56Z</dcterms:modified>
</cp:coreProperties>
</file>